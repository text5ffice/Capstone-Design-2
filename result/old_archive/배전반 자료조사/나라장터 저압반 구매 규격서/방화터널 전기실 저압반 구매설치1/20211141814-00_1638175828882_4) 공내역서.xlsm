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32760" yWindow="360" windowWidth="14835" windowHeight="11190" tabRatio="923" firstSheet="2" activeTab="2"/>
  </bookViews>
  <sheets>
    <sheet name="설계서(갑지)" sheetId="21" r:id="rId1"/>
    <sheet name="심사결과" sheetId="44" state="hidden" r:id="rId2"/>
    <sheet name="설치원가계산서" sheetId="22" r:id="rId3"/>
    <sheet name="설치내역서" sheetId="17" r:id="rId4"/>
    <sheet name="설치일위대가 목록" sheetId="16" r:id="rId5"/>
    <sheet name="설치일위대가 " sheetId="7" r:id="rId6"/>
    <sheet name="제조원가계산서" sheetId="33" r:id="rId7"/>
    <sheet name="제조내역총괄표" sheetId="39" r:id="rId8"/>
    <sheet name="제조산출내역서" sheetId="43" r:id="rId9"/>
    <sheet name="제조공량산출서" sheetId="29" r:id="rId10"/>
    <sheet name="제조노임단가" sheetId="30" r:id="rId11"/>
  </sheets>
  <functionGroups/>
  <externalReferences>
    <externalReference r:id="rId12"/>
    <externalReference r:id="rId13"/>
  </externalReferences>
  <definedNames>
    <definedName name="_Fill" hidden="1">#REF!</definedName>
    <definedName name="a">'[1]단가 및 재료비'!$AA$72</definedName>
    <definedName name="b">'[1]단가 및 재료비'!$S$170</definedName>
    <definedName name="Macro1" description="pine이(가) 96-06-26에 기록한 매크로" xlm="1" shortcutKey="a">#REF!</definedName>
    <definedName name="Macro2" description="PINE이(가) 96-06-26에 기록한 매크로" xlm="1">#REF!</definedName>
    <definedName name="Macro4" description="fox hunter이(가) 96-06-26에 기록한 매크로" xlm="1">#REF!</definedName>
    <definedName name="Macro5" description="fox hunter이(가) 96-06-26에 기록한 매크로" xlm="1">#REF!</definedName>
    <definedName name="Macro6" description="fox hunter이(가) 96-06-26에 기록한 매크로" xlm="1">#REF!</definedName>
    <definedName name="p">#REF!</definedName>
    <definedName name="PA">#REF!</definedName>
    <definedName name="PB">#REF!</definedName>
    <definedName name="PC">#REF!</definedName>
    <definedName name="PD">#REF!</definedName>
    <definedName name="_xlnm.Print_Area" localSheetId="0">'설계서(갑지)'!$A$1:$K$17</definedName>
    <definedName name="_xlnm.Print_Area" localSheetId="2">설치원가계산서!$A$1:$F$26</definedName>
    <definedName name="_xlnm.Print_Area" localSheetId="5">'설치일위대가 '!$A$1:$O$22</definedName>
    <definedName name="_xlnm.Print_Area" localSheetId="4">'설치일위대가 목록'!$A$1:$H$7</definedName>
    <definedName name="_xlnm.Print_Area" localSheetId="9">제조공량산출서!$A$1:$G$89</definedName>
    <definedName name="_xlnm.Print_Area" localSheetId="10">제조노임단가!$A$1:$C$16</definedName>
    <definedName name="_xlnm.Print_Area" localSheetId="8">제조산출내역서!$A$1:$P$180</definedName>
    <definedName name="_xlnm.Print_Area" localSheetId="6">제조원가계산서!$A$1:$E$18</definedName>
    <definedName name="_xlnm.Print_Titles" localSheetId="3">설치내역서!$2:$4</definedName>
    <definedName name="_xlnm.Print_Titles" localSheetId="5">'설치일위대가 '!$1:$4</definedName>
    <definedName name="_xlnm.Print_Titles" localSheetId="4">'설치일위대가 목록'!$4:$4</definedName>
    <definedName name="_xlnm.Print_Titles" localSheetId="7">제조내역총괄표!$2:$4</definedName>
    <definedName name="_xlnm.Recorder">#REF!</definedName>
    <definedName name="각재">'[2]단가 및 재료비'!$S$171</definedName>
    <definedName name="견적서">#REF!</definedName>
    <definedName name="계약보증금납부서">#REF!</definedName>
    <definedName name="계약서">#REF!</definedName>
    <definedName name="공사원가">#REF!</definedName>
    <definedName name="공정표">#REF!</definedName>
    <definedName name="규____격">#REF!</definedName>
    <definedName name="내역서표지">#REF!</definedName>
    <definedName name="내역표지">#REF!</definedName>
    <definedName name="단_위">#REF!</definedName>
    <definedName name="대형브레이카0.4경비">[2]중기사용료산출근거!$G$20</definedName>
    <definedName name="대형브레이카0.4노무비">[2]중기사용료산출근거!$G$24</definedName>
    <definedName name="대형브레이카0.4재료비">[2]중기사용료산출근거!$G$28</definedName>
    <definedName name="라인마아카10경비">[2]중기사용료산출근거!$G$95</definedName>
    <definedName name="라인마아카10노무비">[2]중기사용료산출근거!$G$99</definedName>
    <definedName name="라인마아카10재료비">[2]중기사용료산출근거!$G$103</definedName>
    <definedName name="못">'[2]단가 및 재료비'!$S$173</definedName>
    <definedName name="물탱크5500경비">[2]중기사용료산출근거!$G$155</definedName>
    <definedName name="물탱크5500노무비">[2]중기사용료산출근거!$G$159</definedName>
    <definedName name="물탱크5500재료비">[2]중기사용료산출근거!$G$163</definedName>
    <definedName name="법원원천사" localSheetId="0">#REF!</definedName>
    <definedName name="법원원천사" localSheetId="3">#REF!</definedName>
    <definedName name="법원원천사" localSheetId="4">#REF!</definedName>
    <definedName name="법원원천사" localSheetId="7">#REF!</definedName>
    <definedName name="법원원천사" localSheetId="6">#REF!</definedName>
    <definedName name="법원원천사">#REF!</definedName>
    <definedName name="보통인부">'[2]단가 및 재료비'!$AA$91</definedName>
    <definedName name="비_고">#REF!</definedName>
    <definedName name="사용인감">#REF!</definedName>
    <definedName name="사용인감계">#REF!</definedName>
    <definedName name="산__출__근__거">#REF!</definedName>
    <definedName name="설계용지2" description="pine이(가) 96-06-26에 기록한 매크로" xlm="1" shortcutKey="a">#REF!</definedName>
    <definedName name="설계표지">#REF!</definedName>
    <definedName name="수_량">#REF!</definedName>
    <definedName name="수량산출타이틀">#REF!</definedName>
    <definedName name="수량산출행">#REF!</definedName>
    <definedName name="유리알버드">'[2]단가 및 재료비'!$S$143</definedName>
    <definedName name="유압식백호우0.4경비">[2]중기사용료산출근거!$G$215</definedName>
    <definedName name="유압식백호우0.4노무비">[2]중기사용료산출근거!$G$219</definedName>
    <definedName name="유압식백호우0.4재료비">[2]중기사용료산출근거!$G$223</definedName>
    <definedName name="융착성도료청색">'[2]단가 및 재료비'!$S$215</definedName>
    <definedName name="일" localSheetId="7">#REF!</definedName>
    <definedName name="일">#REF!</definedName>
    <definedName name="준공계">#REF!</definedName>
    <definedName name="중유">'[2]단가 및 재료비'!$U$34</definedName>
    <definedName name="진동로울러자주식4.4경비" localSheetId="0">[2]중기사용료산출근거!#REF!</definedName>
    <definedName name="진동로울러자주식4.4경비" localSheetId="3">[2]중기사용료산출근거!#REF!</definedName>
    <definedName name="진동로울러자주식4.4경비" localSheetId="4">[2]중기사용료산출근거!#REF!</definedName>
    <definedName name="진동로울러자주식4.4경비" localSheetId="7">[2]중기사용료산출근거!#REF!</definedName>
    <definedName name="진동로울러자주식4.4경비" localSheetId="6">[2]중기사용료산출근거!#REF!</definedName>
    <definedName name="진동로울러자주식4.4경비">[2]중기사용료산출근거!#REF!</definedName>
    <definedName name="진동로울러자주식4.4노무비" localSheetId="0">[2]중기사용료산출근거!#REF!</definedName>
    <definedName name="진동로울러자주식4.4노무비" localSheetId="3">[2]중기사용료산출근거!#REF!</definedName>
    <definedName name="진동로울러자주식4.4노무비" localSheetId="4">[2]중기사용료산출근거!#REF!</definedName>
    <definedName name="진동로울러자주식4.4노무비" localSheetId="7">[2]중기사용료산출근거!#REF!</definedName>
    <definedName name="진동로울러자주식4.4노무비" localSheetId="6">[2]중기사용료산출근거!#REF!</definedName>
    <definedName name="진동로울러자주식4.4노무비">[2]중기사용료산출근거!#REF!</definedName>
    <definedName name="진동로울러자주식4.4재료비" localSheetId="0">[2]중기사용료산출근거!#REF!</definedName>
    <definedName name="진동로울러자주식4.4재료비" localSheetId="3">[2]중기사용료산출근거!#REF!</definedName>
    <definedName name="진동로울러자주식4.4재료비" localSheetId="4">[2]중기사용료산출근거!#REF!</definedName>
    <definedName name="진동로울러자주식4.4재료비" localSheetId="7">[2]중기사용료산출근거!#REF!</definedName>
    <definedName name="진동로울러자주식4.4재료비" localSheetId="6">[2]중기사용료산출근거!#REF!</definedName>
    <definedName name="진동로울러자주식4.4재료비">[2]중기사용료산출근거!#REF!</definedName>
    <definedName name="철선">'[2]단가 및 재료비'!$S$172</definedName>
    <definedName name="치즐">'[2]단가 및 재료비'!$U$39</definedName>
    <definedName name="콘크리트캇타320경비">[2]중기사용료산출근거!$G$245</definedName>
    <definedName name="콘크리트캇타320노무비">[2]중기사용료산출근거!$G$249</definedName>
    <definedName name="콘크리트캇타320재료비">[2]중기사용료산출근거!$G$253</definedName>
    <definedName name="터파기기계0.4경비">#REF!</definedName>
    <definedName name="터파기기계0.4노무비">#REF!</definedName>
    <definedName name="터파기기계0.4재료비">#REF!</definedName>
    <definedName name="특별인부">'[2]단가 및 재료비'!$AA$90</definedName>
    <definedName name="포설공">'[2]단가 및 재료비'!$AA$72</definedName>
    <definedName name="품_____명">#REF!</definedName>
    <definedName name="프라이드">'[2]단가 및 재료비'!$S$144</definedName>
    <definedName name="프로판가스">'[2]단가 및 재료비'!$S$145</definedName>
    <definedName name="합판">'[2]단가 및 재료비'!$S$170</definedName>
    <definedName name="형틀목공">'[2]단가 및 재료비'!$AA$51</definedName>
  </definedNames>
  <calcPr calcId="125725"/>
</workbook>
</file>

<file path=xl/calcChain.xml><?xml version="1.0" encoding="utf-8"?>
<calcChain xmlns="http://schemas.openxmlformats.org/spreadsheetml/2006/main">
  <c r="A3" i="22"/>
  <c r="G10" i="44" l="1"/>
  <c r="Q9" i="7" l="1"/>
  <c r="K5" i="29" l="1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4"/>
  <c r="R8" i="43" l="1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7"/>
  <c r="J96" i="29" l="1"/>
  <c r="J97"/>
  <c r="J98"/>
  <c r="J99"/>
  <c r="J100"/>
  <c r="J101"/>
  <c r="J102"/>
  <c r="J103"/>
  <c r="J104"/>
  <c r="J105"/>
  <c r="A3" i="16" l="1"/>
  <c r="A2" i="17"/>
  <c r="A2" i="39" l="1"/>
  <c r="J5" i="16" l="1"/>
  <c r="K5" l="1"/>
  <c r="I11" i="17" l="1"/>
  <c r="L11" l="1"/>
  <c r="G11"/>
  <c r="K11"/>
  <c r="I9" i="44" l="1"/>
  <c r="I10" l="1"/>
  <c r="J10" s="1"/>
  <c r="J11" s="1"/>
  <c r="J9"/>
</calcChain>
</file>

<file path=xl/sharedStrings.xml><?xml version="1.0" encoding="utf-8"?>
<sst xmlns="http://schemas.openxmlformats.org/spreadsheetml/2006/main" count="1208" uniqueCount="436">
  <si>
    <t>단   가</t>
  </si>
  <si>
    <t>재료비</t>
    <phoneticPr fontId="2" type="noConversion"/>
  </si>
  <si>
    <t>노무비</t>
    <phoneticPr fontId="2" type="noConversion"/>
  </si>
  <si>
    <t>계</t>
    <phoneticPr fontId="2" type="noConversion"/>
  </si>
  <si>
    <t>수량</t>
    <phoneticPr fontId="2" type="noConversion"/>
  </si>
  <si>
    <t>인</t>
    <phoneticPr fontId="2" type="noConversion"/>
  </si>
  <si>
    <t xml:space="preserve">  일   위   대   가   표</t>
    <phoneticPr fontId="2" type="noConversion"/>
  </si>
  <si>
    <t>수 량</t>
    <phoneticPr fontId="2" type="noConversion"/>
  </si>
  <si>
    <t>단위</t>
    <phoneticPr fontId="4" type="noConversion"/>
  </si>
  <si>
    <t>총  액</t>
    <phoneticPr fontId="2" type="noConversion"/>
  </si>
  <si>
    <t>재   료    비</t>
    <phoneticPr fontId="2" type="noConversion"/>
  </si>
  <si>
    <t>노    무    비</t>
    <phoneticPr fontId="2" type="noConversion"/>
  </si>
  <si>
    <t>경     비</t>
    <phoneticPr fontId="4" type="noConversion"/>
  </si>
  <si>
    <t>비 고</t>
    <phoneticPr fontId="2" type="noConversion"/>
  </si>
  <si>
    <t>단  가</t>
    <phoneticPr fontId="2" type="noConversion"/>
  </si>
  <si>
    <t>금   액</t>
    <phoneticPr fontId="2" type="noConversion"/>
  </si>
  <si>
    <t>금  액</t>
    <phoneticPr fontId="2" type="noConversion"/>
  </si>
  <si>
    <t>단 가</t>
    <phoneticPr fontId="2" type="noConversion"/>
  </si>
  <si>
    <t>금 액</t>
    <phoneticPr fontId="2" type="noConversion"/>
  </si>
  <si>
    <t>합계</t>
    <phoneticPr fontId="2" type="noConversion"/>
  </si>
  <si>
    <t>품          명</t>
  </si>
  <si>
    <t>경  비</t>
    <phoneticPr fontId="2" type="noConversion"/>
  </si>
  <si>
    <t>합 계</t>
    <phoneticPr fontId="2" type="noConversion"/>
  </si>
  <si>
    <t>비고</t>
  </si>
  <si>
    <t>단가</t>
  </si>
  <si>
    <t>금액</t>
  </si>
  <si>
    <t>규    격</t>
    <phoneticPr fontId="2" type="noConversion"/>
  </si>
  <si>
    <t>단위</t>
    <phoneticPr fontId="2" type="noConversion"/>
  </si>
  <si>
    <t>대</t>
    <phoneticPr fontId="2" type="noConversion"/>
  </si>
  <si>
    <t>단위</t>
  </si>
  <si>
    <t>코드</t>
    <phoneticPr fontId="4" type="noConversion"/>
  </si>
  <si>
    <t>품    명</t>
    <phoneticPr fontId="2" type="noConversion"/>
  </si>
  <si>
    <t>규격</t>
    <phoneticPr fontId="2" type="noConversion"/>
  </si>
  <si>
    <t>재 료  비</t>
    <phoneticPr fontId="2" type="noConversion"/>
  </si>
  <si>
    <t>노  무  비</t>
    <phoneticPr fontId="2" type="noConversion"/>
  </si>
  <si>
    <t>제1호표</t>
    <phoneticPr fontId="2" type="noConversion"/>
  </si>
  <si>
    <t>제2호표</t>
    <phoneticPr fontId="2" type="noConversion"/>
  </si>
  <si>
    <t>ℓ</t>
    <phoneticPr fontId="2" type="noConversion"/>
  </si>
  <si>
    <t>경유(저유황0.001%)</t>
    <phoneticPr fontId="2" type="noConversion"/>
  </si>
  <si>
    <t>품명</t>
    <phoneticPr fontId="2" type="noConversion"/>
  </si>
  <si>
    <t>연번</t>
    <phoneticPr fontId="4" type="noConversion"/>
  </si>
  <si>
    <t>규격</t>
    <phoneticPr fontId="2" type="noConversion"/>
  </si>
  <si>
    <t>비     고</t>
  </si>
  <si>
    <t>일반관리비</t>
    <phoneticPr fontId="2" type="noConversion"/>
  </si>
  <si>
    <t>팀장</t>
    <phoneticPr fontId="2" type="noConversion"/>
  </si>
  <si>
    <t>설 계 내 역 서</t>
    <phoneticPr fontId="2" type="noConversion"/>
  </si>
  <si>
    <t>심사자</t>
    <phoneticPr fontId="2" type="noConversion"/>
  </si>
  <si>
    <t>담당자</t>
    <phoneticPr fontId="2" type="noConversion"/>
  </si>
  <si>
    <t>설계</t>
    <phoneticPr fontId="2" type="noConversion"/>
  </si>
  <si>
    <t>심사</t>
    <phoneticPr fontId="2" type="noConversion"/>
  </si>
  <si>
    <t>[단위 : 원]</t>
    <phoneticPr fontId="2" type="noConversion"/>
  </si>
  <si>
    <t>결  재</t>
    <phoneticPr fontId="2" type="noConversion"/>
  </si>
  <si>
    <t>공급가액</t>
    <phoneticPr fontId="2" type="noConversion"/>
  </si>
  <si>
    <t>부가세</t>
    <phoneticPr fontId="2" type="noConversion"/>
  </si>
  <si>
    <t>합  계</t>
    <phoneticPr fontId="2" type="noConversion"/>
  </si>
  <si>
    <t>구    분</t>
    <phoneticPr fontId="2" type="noConversion"/>
  </si>
  <si>
    <t>도
급
비</t>
    <phoneticPr fontId="2" type="noConversion"/>
  </si>
  <si>
    <t>금    액</t>
    <phoneticPr fontId="2" type="noConversion"/>
  </si>
  <si>
    <t>설   계   서</t>
    <phoneticPr fontId="2" type="noConversion"/>
  </si>
  <si>
    <t>면</t>
  </si>
  <si>
    <t>비계공</t>
    <phoneticPr fontId="2" type="noConversion"/>
  </si>
  <si>
    <t>보통인부</t>
    <phoneticPr fontId="2" type="noConversion"/>
  </si>
  <si>
    <t>인</t>
    <phoneticPr fontId="2" type="noConversion"/>
  </si>
  <si>
    <t>전기3-35</t>
    <phoneticPr fontId="2" type="noConversion"/>
  </si>
  <si>
    <t>재료비</t>
    <phoneticPr fontId="2" type="noConversion"/>
  </si>
  <si>
    <t>잡품(주연료의 20%)</t>
    <phoneticPr fontId="2" type="noConversion"/>
  </si>
  <si>
    <t>%</t>
    <phoneticPr fontId="2" type="noConversion"/>
  </si>
  <si>
    <t>경비</t>
    <phoneticPr fontId="2" type="noConversion"/>
  </si>
  <si>
    <t>20</t>
    <phoneticPr fontId="2" type="noConversion"/>
  </si>
  <si>
    <t>노무비</t>
    <phoneticPr fontId="2" type="noConversion"/>
  </si>
  <si>
    <t>화물차운전사</t>
    <phoneticPr fontId="2" type="noConversion"/>
  </si>
  <si>
    <t>면</t>
    <phoneticPr fontId="2" type="noConversion"/>
  </si>
  <si>
    <t>공급가액 x 10%</t>
    <phoneticPr fontId="2" type="noConversion"/>
  </si>
  <si>
    <t>공 급 가 액</t>
    <phoneticPr fontId="2" type="noConversion"/>
  </si>
  <si>
    <t>이       윤</t>
    <phoneticPr fontId="2" type="noConversion"/>
  </si>
  <si>
    <t>소              계</t>
  </si>
  <si>
    <t>연  금  보  험  료</t>
  </si>
  <si>
    <t>노인장기요양보험료</t>
  </si>
  <si>
    <t>건  강  보  험  료</t>
  </si>
  <si>
    <t>고  용  보  험  료</t>
  </si>
  <si>
    <t>산 재 보 험 료</t>
  </si>
  <si>
    <t>경  비</t>
  </si>
  <si>
    <t>간  접  노  무  비</t>
  </si>
  <si>
    <t>직  접  노  무  비</t>
  </si>
  <si>
    <t>노 무 비</t>
  </si>
  <si>
    <t>작업설.부산물등(△)</t>
  </si>
  <si>
    <t>간  접  재  료  비</t>
  </si>
  <si>
    <t>직  접  재  료  비</t>
  </si>
  <si>
    <t>재 료 비</t>
  </si>
  <si>
    <t>순
원
가</t>
    <phoneticPr fontId="2" type="noConversion"/>
  </si>
  <si>
    <t>비  고</t>
    <phoneticPr fontId="2" type="noConversion"/>
  </si>
  <si>
    <t>구   분</t>
    <phoneticPr fontId="2" type="noConversion"/>
  </si>
  <si>
    <t>5.1</t>
    <phoneticPr fontId="2" type="noConversion"/>
  </si>
  <si>
    <t>트럭탑재형 크레인</t>
    <phoneticPr fontId="2" type="noConversion"/>
  </si>
  <si>
    <t>HR</t>
    <phoneticPr fontId="2" type="noConversion"/>
  </si>
  <si>
    <t>장비</t>
    <phoneticPr fontId="2" type="noConversion"/>
  </si>
  <si>
    <t>인</t>
    <phoneticPr fontId="2" type="noConversion"/>
  </si>
  <si>
    <t>부  가  세</t>
    <phoneticPr fontId="2" type="noConversion"/>
  </si>
  <si>
    <t xml:space="preserve">  일 위 대 가 목 록</t>
    <phoneticPr fontId="2" type="noConversion"/>
  </si>
  <si>
    <t>NAME PLATE</t>
  </si>
  <si>
    <t>EA</t>
  </si>
  <si>
    <t>SPD</t>
  </si>
  <si>
    <t>SPACE HEATER</t>
  </si>
  <si>
    <t>PVC DUCT</t>
  </si>
  <si>
    <t>DOOR STOPPER</t>
  </si>
  <si>
    <t>인</t>
  </si>
  <si>
    <t>전선원</t>
  </si>
  <si>
    <t>단순노무종사원</t>
  </si>
  <si>
    <t xml:space="preserve"> 단   위   인   공 </t>
  </si>
  <si>
    <t>중기계조립공</t>
  </si>
  <si>
    <t>품       명</t>
  </si>
  <si>
    <t>규          격</t>
  </si>
  <si>
    <t>전기품셈
(제조)</t>
    <phoneticPr fontId="2" type="noConversion"/>
  </si>
  <si>
    <t xml:space="preserve"> 단   위   인   공  계 </t>
  </si>
  <si>
    <t>제   조  원  가  계  산  서</t>
    <phoneticPr fontId="2" type="noConversion"/>
  </si>
  <si>
    <t>[재료비+노무비+경비] X 6%</t>
    <phoneticPr fontId="2" type="noConversion"/>
  </si>
  <si>
    <t>합                계</t>
    <phoneticPr fontId="2" type="noConversion"/>
  </si>
  <si>
    <t>경     비</t>
    <phoneticPr fontId="2" type="noConversion"/>
  </si>
  <si>
    <t>소              계</t>
    <phoneticPr fontId="2" type="noConversion"/>
  </si>
  <si>
    <t xml:space="preserve">구성비 </t>
    <phoneticPr fontId="2" type="noConversion"/>
  </si>
  <si>
    <t>비  고</t>
    <phoneticPr fontId="2" type="noConversion"/>
  </si>
  <si>
    <t>이       윤</t>
    <phoneticPr fontId="2" type="noConversion"/>
  </si>
  <si>
    <t>1. 저압반 철거 및 설치비</t>
    <phoneticPr fontId="2" type="noConversion"/>
  </si>
  <si>
    <t>[노무비+경비+일반관리비] X 15%이하</t>
    <phoneticPr fontId="2" type="noConversion"/>
  </si>
  <si>
    <t>사 급 자 재</t>
    <phoneticPr fontId="2" type="noConversion"/>
  </si>
  <si>
    <t>사급자재</t>
    <phoneticPr fontId="2" type="noConversion"/>
  </si>
  <si>
    <t>산업안전보건관리비</t>
    <phoneticPr fontId="2" type="noConversion"/>
  </si>
  <si>
    <t>트럭탑재형 크레인(10TON)</t>
    <phoneticPr fontId="2" type="noConversion"/>
  </si>
  <si>
    <t>4</t>
    <phoneticPr fontId="2" type="noConversion"/>
  </si>
  <si>
    <t>4</t>
    <phoneticPr fontId="2" type="noConversion"/>
  </si>
  <si>
    <t>변전정공</t>
    <phoneticPr fontId="2" type="noConversion"/>
  </si>
  <si>
    <t>인</t>
    <phoneticPr fontId="2" type="noConversion"/>
  </si>
  <si>
    <t>공 급 가 액</t>
    <phoneticPr fontId="2" type="noConversion"/>
  </si>
  <si>
    <t>트럭탑재형 크레인(5TON), 시간당, 적산정보 기계화시공 P670</t>
    <phoneticPr fontId="2" type="noConversion"/>
  </si>
  <si>
    <t>식</t>
    <phoneticPr fontId="2" type="noConversion"/>
  </si>
  <si>
    <t>저압반설치</t>
    <phoneticPr fontId="2" type="noConversion"/>
  </si>
  <si>
    <t>면</t>
    <phoneticPr fontId="2" type="noConversion"/>
  </si>
  <si>
    <t>트럭탑재형크레인</t>
    <phoneticPr fontId="2" type="noConversion"/>
  </si>
  <si>
    <t xml:space="preserve"> </t>
    <phoneticPr fontId="2" type="noConversion"/>
  </si>
  <si>
    <t>제1호표</t>
    <phoneticPr fontId="2" type="noConversion"/>
  </si>
  <si>
    <t>제2호표</t>
    <phoneticPr fontId="2" type="noConversion"/>
  </si>
  <si>
    <t>노무비x3.7%</t>
    <phoneticPr fontId="2" type="noConversion"/>
  </si>
  <si>
    <t>기  계  경   비</t>
    <phoneticPr fontId="2" type="noConversion"/>
  </si>
  <si>
    <t>기  타  경  비</t>
    <phoneticPr fontId="2" type="noConversion"/>
  </si>
  <si>
    <t>직접노무비x13%</t>
    <phoneticPr fontId="2" type="noConversion"/>
  </si>
  <si>
    <t>직접노무비*13%</t>
    <phoneticPr fontId="2" type="noConversion"/>
  </si>
  <si>
    <t>기타경비</t>
    <phoneticPr fontId="2" type="noConversion"/>
  </si>
  <si>
    <t>(재료비+노무비)*5.8%</t>
    <phoneticPr fontId="2" type="noConversion"/>
  </si>
  <si>
    <t>[재료비+노무비] x 5.8%</t>
    <phoneticPr fontId="2" type="noConversion"/>
  </si>
  <si>
    <t>[재료비+노무비+경비] X 6%</t>
    <phoneticPr fontId="2" type="noConversion"/>
  </si>
  <si>
    <t>[노무비+경비+일반관리비] X 25%이하</t>
    <phoneticPr fontId="2" type="noConversion"/>
  </si>
  <si>
    <t>a. [재료비+직노+사급자재] x 1.85%</t>
  </si>
  <si>
    <t>b. [재료비+직노] x 1.85%*1.2</t>
  </si>
  <si>
    <t>제2호표</t>
  </si>
  <si>
    <t>제5호표</t>
  </si>
  <si>
    <r>
      <rPr>
        <b/>
        <sz val="16"/>
        <rFont val="돋움"/>
        <family val="3"/>
        <charset val="129"/>
      </rPr>
      <t>노 임 단 가</t>
    </r>
    <r>
      <rPr>
        <b/>
        <sz val="14"/>
        <rFont val="돋움"/>
        <family val="3"/>
        <charset val="129"/>
      </rPr>
      <t xml:space="preserve">
</t>
    </r>
    <r>
      <rPr>
        <b/>
        <sz val="12"/>
        <rFont val="돋움"/>
        <family val="3"/>
        <charset val="129"/>
      </rPr>
      <t>(2021년 하반기)</t>
    </r>
    <phoneticPr fontId="2" type="noConversion"/>
  </si>
  <si>
    <t>변전전공</t>
    <phoneticPr fontId="2" type="noConversion"/>
  </si>
  <si>
    <t>비계공</t>
    <phoneticPr fontId="2" type="noConversion"/>
  </si>
  <si>
    <t>기계설비공</t>
    <phoneticPr fontId="2" type="noConversion"/>
  </si>
  <si>
    <t>보통인부</t>
    <phoneticPr fontId="2" type="noConversion"/>
  </si>
  <si>
    <t>통신설비공</t>
    <phoneticPr fontId="2" type="noConversion"/>
  </si>
  <si>
    <t>통신케이블공</t>
    <phoneticPr fontId="2" type="noConversion"/>
  </si>
  <si>
    <t>전기기계조립원</t>
    <phoneticPr fontId="2" type="noConversion"/>
  </si>
  <si>
    <t>전선원</t>
    <phoneticPr fontId="2" type="noConversion"/>
  </si>
  <si>
    <t>단순노무종사원</t>
    <phoneticPr fontId="2" type="noConversion"/>
  </si>
  <si>
    <t>공사부분</t>
    <phoneticPr fontId="2" type="noConversion"/>
  </si>
  <si>
    <t>제조부분</t>
    <phoneticPr fontId="2" type="noConversion"/>
  </si>
  <si>
    <t>면</t>
    <phoneticPr fontId="2" type="noConversion"/>
  </si>
  <si>
    <t>손용석</t>
    <phoneticPr fontId="2" type="noConversion"/>
  </si>
  <si>
    <t>특별인부</t>
    <phoneticPr fontId="2" type="noConversion"/>
  </si>
  <si>
    <t>통신관련 산업기사</t>
    <phoneticPr fontId="2" type="noConversion"/>
  </si>
  <si>
    <t>노무비x1.01%</t>
    <phoneticPr fontId="2" type="noConversion"/>
  </si>
  <si>
    <t>비고</t>
    <phoneticPr fontId="2" type="noConversion"/>
  </si>
  <si>
    <t>번호</t>
    <phoneticPr fontId="2" type="noConversion"/>
  </si>
  <si>
    <t>공종코드</t>
    <phoneticPr fontId="2" type="noConversion"/>
  </si>
  <si>
    <t>코드</t>
    <phoneticPr fontId="2" type="noConversion"/>
  </si>
  <si>
    <t>명   칭</t>
    <phoneticPr fontId="2" type="noConversion"/>
  </si>
  <si>
    <t>규   격</t>
    <phoneticPr fontId="2" type="noConversion"/>
  </si>
  <si>
    <t>단위</t>
    <phoneticPr fontId="2" type="noConversion"/>
  </si>
  <si>
    <t>외함</t>
  </si>
  <si>
    <t>800Wx2850Hx2500D</t>
  </si>
  <si>
    <t>소공간자동소화장치</t>
  </si>
  <si>
    <t>4kg</t>
  </si>
  <si>
    <t>SET</t>
  </si>
  <si>
    <t>DOOR HANDLE</t>
  </si>
  <si>
    <t>W/KEY (L)</t>
  </si>
  <si>
    <t>개</t>
  </si>
  <si>
    <t>아크릴(L)</t>
  </si>
  <si>
    <t>M C C B</t>
  </si>
  <si>
    <t>2P 220V 50AF 10kA</t>
  </si>
  <si>
    <t>DIAZED FUSE</t>
  </si>
  <si>
    <t>25A 이하 W/HOLDER</t>
  </si>
  <si>
    <t>F L</t>
  </si>
  <si>
    <t>AC 220V 20W</t>
  </si>
  <si>
    <t>LIMIT S/W</t>
  </si>
  <si>
    <t>AC 220V 1a 1b</t>
  </si>
  <si>
    <t>AC 220V 100W</t>
  </si>
  <si>
    <t>THERMOSTAT</t>
  </si>
  <si>
    <t>250V 0-250℃</t>
  </si>
  <si>
    <t>CONSENT</t>
  </si>
  <si>
    <t>2P AC 220V 15A</t>
  </si>
  <si>
    <t>MAIN BUS BAR</t>
  </si>
  <si>
    <t>6.0 mm x 50 mm</t>
  </si>
  <si>
    <t>m</t>
  </si>
  <si>
    <t>AIR THRINK TUBE (600V이하)</t>
  </si>
  <si>
    <t>6T x 50</t>
  </si>
  <si>
    <t>BUS BAR COATING</t>
  </si>
  <si>
    <t>AG</t>
  </si>
  <si>
    <t>kg</t>
  </si>
  <si>
    <t>EARTH BAR</t>
  </si>
  <si>
    <t>3.0 mm x 30 mm</t>
  </si>
  <si>
    <t>EARTH WIRE</t>
  </si>
  <si>
    <t>F-GV 70㎟</t>
  </si>
  <si>
    <t>EARTH TERMINAL</t>
  </si>
  <si>
    <t>70㎟</t>
  </si>
  <si>
    <t>A C B (표준형)</t>
  </si>
  <si>
    <t>4P 600AF  D/O</t>
  </si>
  <si>
    <t>대</t>
  </si>
  <si>
    <t>P T   440/110V</t>
  </si>
  <si>
    <t>200VA 1.0 EPOXY MOLD</t>
  </si>
  <si>
    <t>C T 1150V  600/5A 40VA 1.0</t>
  </si>
  <si>
    <t>WINDOW TYPE 40In</t>
  </si>
  <si>
    <t>전자화전력보호</t>
  </si>
  <si>
    <t>SPD DS</t>
  </si>
  <si>
    <t>CLASS I Iimp 12.5kA</t>
  </si>
  <si>
    <t>W H M</t>
  </si>
  <si>
    <t>C T</t>
  </si>
  <si>
    <t>C S (CAM S/W)</t>
  </si>
  <si>
    <t>PULL TURN TYPE</t>
  </si>
  <si>
    <t>P L</t>
  </si>
  <si>
    <t>DC 110/125V 30mm</t>
  </si>
  <si>
    <t>P B S</t>
  </si>
  <si>
    <t>25/30Φ 1a 1b</t>
  </si>
  <si>
    <t>B Z (PANEL용)</t>
  </si>
  <si>
    <t>DC 110V 4인치</t>
  </si>
  <si>
    <t>T T M</t>
  </si>
  <si>
    <t>CTT.PTT 3P 4W W/PLUG</t>
  </si>
  <si>
    <t>FLICKER RELAY (FCR)</t>
  </si>
  <si>
    <t>110/220V ON:6S OFF:3S</t>
  </si>
  <si>
    <t>EPOXY INSULATOR</t>
  </si>
  <si>
    <t>600V 40x40mm</t>
  </si>
  <si>
    <t>BAKELITE PLATE</t>
  </si>
  <si>
    <t>5tx400x600</t>
  </si>
  <si>
    <t>㎡</t>
  </si>
  <si>
    <t>30x40x2m W/COVER</t>
  </si>
  <si>
    <t>40x60x2m W/COVER</t>
  </si>
  <si>
    <t>단자대(TB)</t>
  </si>
  <si>
    <t>10P 30A</t>
  </si>
  <si>
    <t>A U X - R</t>
  </si>
  <si>
    <t>AC 2a2b</t>
  </si>
  <si>
    <t>AC 4a4b</t>
  </si>
  <si>
    <t>LOAD WIRE</t>
  </si>
  <si>
    <t>KIV 50㎟</t>
  </si>
  <si>
    <t>LOAD TB</t>
  </si>
  <si>
    <t>4P 100A</t>
  </si>
  <si>
    <t>TERMINAL LUG</t>
  </si>
  <si>
    <t>50㎟</t>
  </si>
  <si>
    <t>이면배선 (IEC)</t>
  </si>
  <si>
    <t>KIV 2.5㎟</t>
  </si>
  <si>
    <t>KIV 4㎟</t>
  </si>
  <si>
    <t>육각BOLT</t>
  </si>
  <si>
    <t>M14 x 100 H/T</t>
  </si>
  <si>
    <t>NUT</t>
  </si>
  <si>
    <t>M14 H/T</t>
  </si>
  <si>
    <t>평와샤</t>
  </si>
  <si>
    <t>금형SPRING</t>
  </si>
  <si>
    <t>CB 30 x 25 갈색</t>
  </si>
  <si>
    <t>SPERICAL WASHER</t>
  </si>
  <si>
    <t>3A01 흑색착색</t>
  </si>
  <si>
    <t>SPERICAL WASHER BASE</t>
  </si>
  <si>
    <t>3A02 흑색착색</t>
  </si>
  <si>
    <t>BASE WASHER</t>
  </si>
  <si>
    <t>3A03 흑색착색</t>
  </si>
  <si>
    <t>내진BOLT GUIDE</t>
  </si>
  <si>
    <t>3A04</t>
  </si>
  <si>
    <t>3t 우레탄 고무판</t>
  </si>
  <si>
    <t>내진BASE</t>
  </si>
  <si>
    <t>MODULE</t>
  </si>
  <si>
    <t>소음감지용 PCB</t>
  </si>
  <si>
    <t>진동감지용 PCB</t>
  </si>
  <si>
    <t>CONTROLLER</t>
  </si>
  <si>
    <t>MAIN PCB (소음진동장치)</t>
  </si>
  <si>
    <t>MAIN PCB</t>
  </si>
  <si>
    <t>EPD-03(전력계통이상표시</t>
  </si>
  <si>
    <t>SUB PCB</t>
  </si>
  <si>
    <t>DISPLAY PCB</t>
  </si>
  <si>
    <t>SMPS</t>
  </si>
  <si>
    <t>CASE SET</t>
  </si>
  <si>
    <t>LOOP SYSTEM</t>
  </si>
  <si>
    <t>케이스</t>
  </si>
  <si>
    <t>150*250*130mm</t>
  </si>
  <si>
    <t>EMF - 7</t>
  </si>
  <si>
    <t>200kVA</t>
  </si>
  <si>
    <t>식</t>
  </si>
  <si>
    <t>아연도금동판</t>
  </si>
  <si>
    <t>150*250*2mm</t>
  </si>
  <si>
    <t>케이블</t>
  </si>
  <si>
    <t>105℃/600V 22sq x 3M</t>
  </si>
  <si>
    <t>P-COVER</t>
  </si>
  <si>
    <t>1710 H x 800 : 1 개</t>
  </si>
  <si>
    <t>BUS BAR</t>
  </si>
  <si>
    <t>3.0 mm x 15 mm</t>
  </si>
  <si>
    <t>E L D</t>
  </si>
  <si>
    <t>10C (MICOM)</t>
  </si>
  <si>
    <t>M C C B (표준형)</t>
  </si>
  <si>
    <t>4P 600V 50AF</t>
  </si>
  <si>
    <t>E L C B  (분전반)</t>
  </si>
  <si>
    <t>110/220V 2P 30AF</t>
  </si>
  <si>
    <t>Z C T</t>
  </si>
  <si>
    <t>100A  (ELD용)</t>
  </si>
  <si>
    <t>M C (GMC-32)</t>
  </si>
  <si>
    <t>7.5kW/220V  15kW/440V</t>
  </si>
  <si>
    <t>M C (GMC-75)</t>
  </si>
  <si>
    <t>22kW/220V   37kW/440V</t>
  </si>
  <si>
    <t>가로등(터널등)제어기</t>
    <phoneticPr fontId="2" type="noConversion"/>
  </si>
  <si>
    <t>KIV 10㎟</t>
  </si>
  <si>
    <t>KIV 16㎟</t>
  </si>
  <si>
    <t>2P 30A</t>
  </si>
  <si>
    <t>4P 60A</t>
  </si>
  <si>
    <t>10㎟</t>
  </si>
  <si>
    <t>16㎟</t>
  </si>
  <si>
    <t>2000Wx2850Hx2500D</t>
  </si>
  <si>
    <t>8kg</t>
  </si>
  <si>
    <t>W/KEY (M)</t>
  </si>
  <si>
    <t>5-19</t>
    <phoneticPr fontId="2" type="noConversion"/>
  </si>
  <si>
    <t>5-23</t>
    <phoneticPr fontId="2" type="noConversion"/>
  </si>
  <si>
    <t>5-22</t>
    <phoneticPr fontId="2" type="noConversion"/>
  </si>
  <si>
    <t>3-34</t>
    <phoneticPr fontId="2" type="noConversion"/>
  </si>
  <si>
    <t>3-21</t>
    <phoneticPr fontId="2" type="noConversion"/>
  </si>
  <si>
    <t>5-10</t>
    <phoneticPr fontId="2" type="noConversion"/>
  </si>
  <si>
    <t>5-20</t>
    <phoneticPr fontId="2" type="noConversion"/>
  </si>
  <si>
    <t>5-21</t>
    <phoneticPr fontId="2" type="noConversion"/>
  </si>
  <si>
    <t>3-25</t>
    <phoneticPr fontId="2" type="noConversion"/>
  </si>
  <si>
    <t>5-9</t>
    <phoneticPr fontId="2" type="noConversion"/>
  </si>
  <si>
    <t>총줄수-&gt;</t>
  </si>
  <si>
    <t>211</t>
  </si>
  <si>
    <t>[ 방화터널 조명설비 교체공사 수배전반 제조구매 설치 ]</t>
    <phoneticPr fontId="2" type="noConversion"/>
  </si>
  <si>
    <t>노무비</t>
    <phoneticPr fontId="2" type="noConversion"/>
  </si>
  <si>
    <t>단가</t>
    <phoneticPr fontId="2" type="noConversion"/>
  </si>
  <si>
    <t>금액</t>
    <phoneticPr fontId="2" type="noConversion"/>
  </si>
  <si>
    <t>공종줄</t>
    <phoneticPr fontId="2" type="noConversion"/>
  </si>
  <si>
    <t>1.LV-1(800Wx2850Hx2500D)</t>
    <phoneticPr fontId="2" type="noConversion"/>
  </si>
  <si>
    <t>(1) 재료비</t>
    <phoneticPr fontId="2" type="noConversion"/>
  </si>
  <si>
    <t>0101</t>
  </si>
  <si>
    <t>E56959000389</t>
  </si>
  <si>
    <t>E56959000390</t>
  </si>
  <si>
    <t>E56959000391</t>
  </si>
  <si>
    <t>E56959000392</t>
  </si>
  <si>
    <t>E56959000395</t>
  </si>
  <si>
    <t>E56959000396</t>
  </si>
  <si>
    <t>E56959000397</t>
  </si>
  <si>
    <t>E56959000398</t>
  </si>
  <si>
    <t>E56959000418</t>
  </si>
  <si>
    <t>합계줄</t>
  </si>
  <si>
    <t>( 재료비 소계 )</t>
    <phoneticPr fontId="2" type="noConversion"/>
  </si>
  <si>
    <t>식</t>
    <phoneticPr fontId="2" type="noConversion"/>
  </si>
  <si>
    <t>(2) 산출노무비</t>
    <phoneticPr fontId="2" type="noConversion"/>
  </si>
  <si>
    <t>( 노무비 소계 )</t>
    <phoneticPr fontId="2" type="noConversion"/>
  </si>
  <si>
    <t>2.LV-2(800Wx2850Hx2500D)</t>
    <phoneticPr fontId="2" type="noConversion"/>
  </si>
  <si>
    <t>가로등(터널등)제어기</t>
    <phoneticPr fontId="2" type="noConversion"/>
  </si>
  <si>
    <t>3.T-02ㆍ2000Wx2850Hx2500D</t>
    <phoneticPr fontId="2" type="noConversion"/>
  </si>
  <si>
    <t>1</t>
  </si>
  <si>
    <t>4</t>
  </si>
  <si>
    <t>2</t>
  </si>
  <si>
    <t>3</t>
  </si>
  <si>
    <t>40</t>
  </si>
  <si>
    <t>8</t>
  </si>
  <si>
    <t>1. 저압반 제조비</t>
    <phoneticPr fontId="2" type="noConversion"/>
  </si>
  <si>
    <t>1. 저압제어반(LV-1) 제조</t>
    <phoneticPr fontId="2" type="noConversion"/>
  </si>
  <si>
    <t>2. 저압제어반(LV-2) 제조</t>
    <phoneticPr fontId="2" type="noConversion"/>
  </si>
  <si>
    <t>3. 저압제어반(T-02) 제조</t>
    <phoneticPr fontId="2" type="noConversion"/>
  </si>
  <si>
    <t>옥외형,800Wx2850Hx2500D</t>
    <phoneticPr fontId="2" type="noConversion"/>
  </si>
  <si>
    <t>옥외형,2000Wx2850Hx2500D</t>
    <phoneticPr fontId="2" type="noConversion"/>
  </si>
  <si>
    <t>전기기계조립원</t>
  </si>
  <si>
    <t>전기기계조립원</t>
    <phoneticPr fontId="2" type="noConversion"/>
  </si>
  <si>
    <t>전선원</t>
    <phoneticPr fontId="2" type="noConversion"/>
  </si>
  <si>
    <t>단순노무종사원</t>
    <phoneticPr fontId="2" type="noConversion"/>
  </si>
  <si>
    <t>전선원</t>
    <phoneticPr fontId="2" type="noConversion"/>
  </si>
  <si>
    <t>단순노무
종사원</t>
    <phoneticPr fontId="2" type="noConversion"/>
  </si>
  <si>
    <t>5-30</t>
    <phoneticPr fontId="2" type="noConversion"/>
  </si>
  <si>
    <t>3-38</t>
    <phoneticPr fontId="2" type="noConversion"/>
  </si>
  <si>
    <t>5-45-2</t>
    <phoneticPr fontId="2" type="noConversion"/>
  </si>
  <si>
    <t>1. 저압제어반(LV-1) 설치</t>
    <phoneticPr fontId="2" type="noConversion"/>
  </si>
  <si>
    <t>2. 저압제어반(LV-2) 설치</t>
    <phoneticPr fontId="2" type="noConversion"/>
  </si>
  <si>
    <t>3. 저압제어반(T-02) 설치</t>
    <phoneticPr fontId="2" type="noConversion"/>
  </si>
  <si>
    <t>옥외형,800Wx2850Hx2500D</t>
    <phoneticPr fontId="2" type="noConversion"/>
  </si>
  <si>
    <t>저압반 설치 (옥외형,800Wx2850Hx2500D)</t>
    <phoneticPr fontId="2" type="noConversion"/>
  </si>
  <si>
    <t>저압반 설치 (옥외형,2000Wx2850Hx2500D)</t>
    <phoneticPr fontId="2" type="noConversion"/>
  </si>
  <si>
    <t>변전전공</t>
    <phoneticPr fontId="2" type="noConversion"/>
  </si>
  <si>
    <t>2.45</t>
    <phoneticPr fontId="2" type="noConversion"/>
  </si>
  <si>
    <t>1.2</t>
    <phoneticPr fontId="2" type="noConversion"/>
  </si>
  <si>
    <t>2.1</t>
    <phoneticPr fontId="2" type="noConversion"/>
  </si>
  <si>
    <t>3.6</t>
    <phoneticPr fontId="2" type="noConversion"/>
  </si>
  <si>
    <t>2.5</t>
    <phoneticPr fontId="2" type="noConversion"/>
  </si>
  <si>
    <t>3.2</t>
    <phoneticPr fontId="2" type="noConversion"/>
  </si>
  <si>
    <t>제3호표</t>
    <phoneticPr fontId="2" type="noConversion"/>
  </si>
  <si>
    <t>건명 : 방화터널 전기실 저압반 구매설치</t>
    <phoneticPr fontId="2" type="noConversion"/>
  </si>
  <si>
    <t xml:space="preserve"> 사업개요 : 저압반 3면 구매설치 </t>
    <phoneticPr fontId="2" type="noConversion"/>
  </si>
  <si>
    <t>이해일</t>
    <phoneticPr fontId="2" type="noConversion"/>
  </si>
  <si>
    <t>이종진</t>
    <phoneticPr fontId="2" type="noConversion"/>
  </si>
  <si>
    <t>2021.11.</t>
    <phoneticPr fontId="2" type="noConversion"/>
  </si>
  <si>
    <t>제 조 산 출 내 역 서</t>
    <phoneticPr fontId="2" type="noConversion"/>
  </si>
  <si>
    <t>제 조 공 량 산 출 서</t>
    <phoneticPr fontId="2" type="noConversion"/>
  </si>
  <si>
    <t>도급비(제조)</t>
    <phoneticPr fontId="2" type="noConversion"/>
  </si>
  <si>
    <t>원   가   계   산   서(구매설치)</t>
    <phoneticPr fontId="2" type="noConversion"/>
  </si>
  <si>
    <t>조도제어5단계</t>
    <phoneticPr fontId="2" type="noConversion"/>
  </si>
  <si>
    <t>5-23(나)
0.18 →0.065</t>
    <phoneticPr fontId="2" type="noConversion"/>
  </si>
  <si>
    <t>5-10
→3-38</t>
    <phoneticPr fontId="2" type="noConversion"/>
  </si>
  <si>
    <t>5-24-&gt;5-25</t>
    <phoneticPr fontId="2" type="noConversion"/>
  </si>
  <si>
    <t>합         계</t>
    <phoneticPr fontId="2" type="noConversion"/>
  </si>
  <si>
    <t>&lt; 산출내역 &gt;</t>
    <phoneticPr fontId="2" type="noConversion"/>
  </si>
  <si>
    <t>품 명</t>
    <phoneticPr fontId="92" type="noConversion"/>
  </si>
  <si>
    <t>심사요청 금액</t>
    <phoneticPr fontId="2" type="noConversion"/>
  </si>
  <si>
    <t>심사평가 금액</t>
    <phoneticPr fontId="2" type="noConversion"/>
  </si>
  <si>
    <t>증 감</t>
    <phoneticPr fontId="2" type="noConversion"/>
  </si>
  <si>
    <t>금 액</t>
  </si>
  <si>
    <t>※ 상기 심사평가 금액은 시중거래가격 등을 적용하여 산출함.</t>
    <phoneticPr fontId="2" type="noConversion"/>
  </si>
  <si>
    <t>산출금액 세부심사 내역서</t>
    <phoneticPr fontId="2" type="noConversion"/>
  </si>
  <si>
    <t>(단위:원)</t>
    <phoneticPr fontId="2" type="noConversion"/>
  </si>
  <si>
    <t>수량</t>
    <phoneticPr fontId="2" type="noConversion"/>
  </si>
  <si>
    <t>단 가</t>
    <phoneticPr fontId="2" type="noConversion"/>
  </si>
  <si>
    <t>금 액</t>
    <phoneticPr fontId="2" type="noConversion"/>
  </si>
  <si>
    <t>별  첨</t>
    <phoneticPr fontId="2" type="noConversion"/>
  </si>
  <si>
    <t>합    계 (부가세 포함)</t>
    <phoneticPr fontId="2" type="noConversion"/>
  </si>
  <si>
    <t xml:space="preserve"> </t>
    <phoneticPr fontId="2" type="noConversion"/>
  </si>
  <si>
    <t>□ 건 명 : 방화터널 전기실 저압반 구매설치</t>
    <phoneticPr fontId="2" type="noConversion"/>
  </si>
  <si>
    <t>저압반 3면</t>
    <phoneticPr fontId="92" type="noConversion"/>
  </si>
  <si>
    <t>&lt;제조원가계산서&gt;</t>
    <phoneticPr fontId="2" type="noConversion"/>
  </si>
  <si>
    <t>(천원미만절사)</t>
    <phoneticPr fontId="2" type="noConversion"/>
  </si>
  <si>
    <t>&lt;제조업 임금조사결과보고서&gt;</t>
    <phoneticPr fontId="2" type="noConversion"/>
  </si>
  <si>
    <t>일금 칠천팔백오십이만칠천원정</t>
  </si>
  <si>
    <t>일금 구백육십사만오천사백원정</t>
  </si>
  <si>
    <t>일금 구십육만사천오백사십원정</t>
  </si>
  <si>
    <t>일금 육천칠백구십일만칠천일백이십구원정</t>
  </si>
  <si>
    <t>옥외형,800Wx2850Hx2500D</t>
  </si>
  <si>
    <t>옥외형,2000Wx2850Hx2500D</t>
  </si>
</sst>
</file>

<file path=xl/styles.xml><?xml version="1.0" encoding="utf-8"?>
<styleSheet xmlns="http://schemas.openxmlformats.org/spreadsheetml/2006/main">
  <numFmts count="27">
    <numFmt numFmtId="41" formatCode="_-* #,##0_-;\-* #,##0_-;_-* &quot;-&quot;_-;_-@_-"/>
    <numFmt numFmtId="176" formatCode="#,##0;[Red]#,##0"/>
    <numFmt numFmtId="177" formatCode="#,##0_ "/>
    <numFmt numFmtId="178" formatCode="0.0_);[Red]\(0.0\)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&quot;₩&quot;#,##0.00;&quot;₩&quot;&quot;₩&quot;\-#,##0.00"/>
    <numFmt numFmtId="183" formatCode="_-* #,##0.00_-;\-* #,##0.00_-;_-* &quot;-&quot;_-;_-@_-"/>
    <numFmt numFmtId="184" formatCode="#,##0.00_ "/>
    <numFmt numFmtId="185" formatCode="_-* #,##0.000_-;\-* #,##0.000_-;_-* &quot;-&quot;_-;_-@_-"/>
    <numFmt numFmtId="186" formatCode="0.00_);[Red]\(0.00\)"/>
    <numFmt numFmtId="187" formatCode="_ * #,##0.0000000_ ;_ * &quot;₩&quot;\!\-#,##0.0000000_ ;_ * &quot;-&quot;_ ;_ @_ "/>
    <numFmt numFmtId="188" formatCode="&quot;RM&quot;#,##0_);[Red]&quot;₩&quot;\!\(&quot;RM&quot;#,##0&quot;₩&quot;\!\)"/>
    <numFmt numFmtId="189" formatCode="&quot;RM&quot;#,##0.00_);[Red]&quot;₩&quot;\!\(&quot;RM&quot;#,##0.00&quot;₩&quot;\!\)"/>
    <numFmt numFmtId="190" formatCode="#,##0.000&quot;₩&quot;\!\ &quot;₩&quot;\!\ "/>
    <numFmt numFmtId="191" formatCode="&quot;₩&quot;#,##0;&quot;₩&quot;&quot;₩&quot;&quot;₩&quot;&quot;₩&quot;\-#,##0"/>
    <numFmt numFmtId="192" formatCode="#,##0;[Red]&quot;-&quot;#,##0"/>
    <numFmt numFmtId="193" formatCode="&quot;₩&quot;#,##0;[Red]&quot;₩&quot;&quot;₩&quot;&quot;₩&quot;&quot;₩&quot;\-#,##0"/>
    <numFmt numFmtId="194" formatCode="_ * #,##0_ ;_ * &quot;₩&quot;\!\-#,##0_ ;_ * &quot;-&quot;_ ;_ @_ "/>
    <numFmt numFmtId="195" formatCode="_ * #,##0.00_ ;_ * &quot;₩&quot;\!\-#,##0.00_ ;_ * &quot;-&quot;??_ ;_ @_ "/>
    <numFmt numFmtId="196" formatCode="_ &quot;₩&quot;* #,##0_ ;_ &quot;₩&quot;* \-#,##0_ ;_ &quot;₩&quot;* &quot;-&quot;_ ;_ @_ "/>
    <numFmt numFmtId="197" formatCode="_-* #,##0.00_-;&quot;₩&quot;&quot;₩&quot;\-* #,##0.00_-;_-* &quot;-&quot;??_-;_-@_-"/>
    <numFmt numFmtId="198" formatCode="_-&quot;₩&quot;* #,##0.00_-;&quot;₩&quot;&quot;₩&quot;\-&quot;₩&quot;* #,##0.00_-;_-&quot;₩&quot;* &quot;-&quot;??_-;_-@_-"/>
    <numFmt numFmtId="199" formatCode="&quot;₩&quot;#,##0.00;&quot;₩&quot;&quot;₩&quot;&quot;₩&quot;&quot;₩&quot;\-#,##0.00"/>
    <numFmt numFmtId="200" formatCode="#,##0_);[Red]\(#,##0\)"/>
    <numFmt numFmtId="201" formatCode="#,##0.0;\-#,##0.0"/>
  </numFmts>
  <fonts count="99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바탕체"/>
      <family val="1"/>
      <charset val="129"/>
    </font>
    <font>
      <sz val="8"/>
      <name val="바탕"/>
      <family val="1"/>
      <charset val="129"/>
    </font>
    <font>
      <sz val="12"/>
      <name val="바탕체"/>
      <family val="1"/>
      <charset val="129"/>
    </font>
    <font>
      <sz val="22"/>
      <name val="바탕체"/>
      <family val="1"/>
      <charset val="129"/>
    </font>
    <font>
      <sz val="20"/>
      <name val="바탕체"/>
      <family val="1"/>
      <charset val="129"/>
    </font>
    <font>
      <sz val="11"/>
      <name val="바탕체"/>
      <family val="1"/>
      <charset val="129"/>
    </font>
    <font>
      <sz val="12"/>
      <name val="뼻뮝"/>
      <family val="1"/>
      <charset val="129"/>
    </font>
    <font>
      <sz val="10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sz val="11"/>
      <name val="돋움"/>
      <family val="3"/>
      <charset val="129"/>
    </font>
    <font>
      <b/>
      <sz val="12"/>
      <name val="돋움"/>
      <family val="3"/>
      <charset val="129"/>
    </font>
    <font>
      <b/>
      <sz val="26"/>
      <name val="돋움"/>
      <family val="3"/>
      <charset val="129"/>
    </font>
    <font>
      <sz val="12"/>
      <name val="돋움"/>
      <family val="3"/>
      <charset val="129"/>
    </font>
    <font>
      <sz val="10"/>
      <name val="새굴림"/>
      <family val="1"/>
      <charset val="129"/>
    </font>
    <font>
      <sz val="10"/>
      <name val="돋움체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돋움"/>
      <family val="3"/>
      <charset val="129"/>
    </font>
    <font>
      <sz val="26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4"/>
      <name val="굴림체"/>
      <family val="3"/>
      <charset val="129"/>
    </font>
    <font>
      <sz val="9"/>
      <name val="굴림체"/>
      <family val="3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b/>
      <sz val="1"/>
      <color indexed="8"/>
      <name val="Courier"/>
      <family val="3"/>
    </font>
    <font>
      <b/>
      <sz val="12"/>
      <color indexed="16"/>
      <name val="굴림체"/>
      <family val="3"/>
      <charset val="129"/>
    </font>
    <font>
      <sz val="10"/>
      <name val="명조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sz val="14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26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굴림체"/>
      <family val="3"/>
      <charset val="129"/>
    </font>
    <font>
      <sz val="11"/>
      <color rgb="FFFF0000"/>
      <name val="돋움"/>
      <family val="3"/>
      <charset val="129"/>
    </font>
    <font>
      <b/>
      <u/>
      <sz val="26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ajor"/>
    </font>
    <font>
      <b/>
      <sz val="16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1"/>
      <name val="한양고딕체"/>
      <family val="3"/>
      <charset val="129"/>
    </font>
    <font>
      <sz val="10"/>
      <color indexed="8"/>
      <name val="맑은 고딕"/>
      <family val="3"/>
      <charset val="129"/>
      <scheme val="minor"/>
    </font>
    <font>
      <sz val="11"/>
      <name val="돋움체"/>
      <family val="3"/>
      <charset val="129"/>
    </font>
    <font>
      <sz val="12"/>
      <name val="돋움체"/>
      <family val="3"/>
      <charset val="129"/>
    </font>
    <font>
      <sz val="10"/>
      <color rgb="FFFF0000"/>
      <name val="굴림체"/>
      <family val="3"/>
      <charset val="129"/>
    </font>
    <font>
      <sz val="9"/>
      <name val="돋움체"/>
      <family val="3"/>
      <charset val="129"/>
    </font>
    <font>
      <u/>
      <sz val="11"/>
      <name val="돋움체"/>
      <family val="3"/>
      <charset val="129"/>
    </font>
    <font>
      <b/>
      <u/>
      <sz val="28"/>
      <color rgb="FF000000"/>
      <name val="맑은 고딕"/>
      <family val="3"/>
      <charset val="129"/>
      <scheme val="minor"/>
    </font>
    <font>
      <sz val="10"/>
      <color rgb="FF000000"/>
      <name val="돋움체"/>
      <family val="3"/>
      <charset val="129"/>
    </font>
    <font>
      <b/>
      <sz val="18"/>
      <color rgb="FF000000"/>
      <name val="08서울한강체 M"/>
      <family val="1"/>
      <charset val="129"/>
    </font>
    <font>
      <b/>
      <sz val="18"/>
      <color rgb="FF000000"/>
      <name val="돋움체"/>
      <family val="3"/>
      <charset val="129"/>
    </font>
    <font>
      <sz val="18"/>
      <name val="돋움체"/>
      <family val="3"/>
      <charset val="129"/>
    </font>
    <font>
      <sz val="16"/>
      <color rgb="FF000000"/>
      <name val="08서울남산체 M"/>
      <family val="1"/>
      <charset val="129"/>
    </font>
    <font>
      <sz val="14"/>
      <name val="돋움체"/>
      <family val="3"/>
      <charset val="129"/>
    </font>
    <font>
      <sz val="12"/>
      <name val="맑은 고딕"/>
      <family val="3"/>
      <charset val="129"/>
      <scheme val="major"/>
    </font>
    <font>
      <b/>
      <sz val="14"/>
      <color rgb="FF000000"/>
      <name val="08서울한강체 M"/>
      <family val="1"/>
      <charset val="129"/>
    </font>
    <font>
      <sz val="8"/>
      <name val="맑은 고딕"/>
      <family val="2"/>
      <charset val="129"/>
      <scheme val="minor"/>
    </font>
    <font>
      <sz val="14"/>
      <color rgb="FF000000"/>
      <name val="08서울한강체 M"/>
      <family val="1"/>
      <charset val="129"/>
    </font>
    <font>
      <sz val="14"/>
      <color rgb="FFFF0000"/>
      <name val="08서울한강체 M"/>
      <family val="1"/>
      <charset val="129"/>
    </font>
    <font>
      <b/>
      <sz val="14"/>
      <color rgb="FFFF0000"/>
      <name val="08서울한강체 M"/>
      <family val="1"/>
      <charset val="129"/>
    </font>
    <font>
      <sz val="10"/>
      <name val="Helv"/>
      <family val="2"/>
    </font>
    <font>
      <sz val="16"/>
      <name val="08서울남산체 M"/>
      <family val="1"/>
      <charset val="129"/>
    </font>
    <font>
      <sz val="16"/>
      <name val="돋움"/>
      <family val="3"/>
      <charset val="129"/>
    </font>
  </fonts>
  <fills count="4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135">
    <xf numFmtId="0" fontId="0" fillId="0" borderId="0"/>
    <xf numFmtId="41" fontId="5" fillId="0" borderId="1">
      <alignment horizontal="center" vertical="center"/>
    </xf>
    <xf numFmtId="0" fontId="37" fillId="3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1" fillId="0" borderId="0" applyFill="0" applyBorder="0" applyAlignment="0"/>
    <xf numFmtId="0" fontId="27" fillId="0" borderId="0"/>
    <xf numFmtId="179" fontId="10" fillId="0" borderId="0" applyFont="0" applyFill="0" applyBorder="0" applyAlignment="0" applyProtection="0"/>
    <xf numFmtId="187" fontId="1" fillId="0" borderId="0"/>
    <xf numFmtId="180" fontId="10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8" fontId="1" fillId="0" borderId="0"/>
    <xf numFmtId="189" fontId="1" fillId="0" borderId="0"/>
    <xf numFmtId="0" fontId="11" fillId="0" borderId="0">
      <protection locked="0"/>
    </xf>
    <xf numFmtId="0" fontId="11" fillId="0" borderId="0">
      <protection locked="0"/>
    </xf>
    <xf numFmtId="0" fontId="12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1" fillId="0" borderId="0">
      <protection locked="0"/>
    </xf>
    <xf numFmtId="0" fontId="12" fillId="0" borderId="0">
      <protection locked="0"/>
    </xf>
    <xf numFmtId="38" fontId="28" fillId="2" borderId="0" applyNumberFormat="0" applyBorder="0" applyAlignment="0" applyProtection="0"/>
    <xf numFmtId="0" fontId="29" fillId="0" borderId="0">
      <alignment horizontal="left"/>
    </xf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10" fontId="28" fillId="2" borderId="1" applyNumberFormat="0" applyBorder="0" applyAlignment="0" applyProtection="0"/>
    <xf numFmtId="0" fontId="30" fillId="0" borderId="4"/>
    <xf numFmtId="190" fontId="1" fillId="0" borderId="0"/>
    <xf numFmtId="0" fontId="10" fillId="0" borderId="0"/>
    <xf numFmtId="10" fontId="10" fillId="0" borderId="0" applyFont="0" applyFill="0" applyBorder="0" applyAlignment="0" applyProtection="0"/>
    <xf numFmtId="0" fontId="30" fillId="0" borderId="0"/>
    <xf numFmtId="0" fontId="38" fillId="21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27" borderId="66" applyNumberFormat="0" applyAlignment="0" applyProtection="0">
      <alignment vertical="center"/>
    </xf>
    <xf numFmtId="191" fontId="5" fillId="0" borderId="0">
      <protection locked="0"/>
    </xf>
    <xf numFmtId="0" fontId="31" fillId="0" borderId="0">
      <protection locked="0"/>
    </xf>
    <xf numFmtId="0" fontId="31" fillId="0" borderId="0">
      <protection locked="0"/>
    </xf>
    <xf numFmtId="0" fontId="41" fillId="28" borderId="0" applyNumberFormat="0" applyBorder="0" applyAlignment="0" applyProtection="0">
      <alignment vertical="center"/>
    </xf>
    <xf numFmtId="0" fontId="11" fillId="0" borderId="0">
      <protection locked="0"/>
    </xf>
    <xf numFmtId="0" fontId="11" fillId="0" borderId="0">
      <protection locked="0"/>
    </xf>
    <xf numFmtId="0" fontId="37" fillId="29" borderId="67" applyNumberFormat="0" applyFont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9" fillId="0" borderId="0"/>
    <xf numFmtId="0" fontId="43" fillId="0" borderId="0" applyNumberFormat="0" applyFill="0" applyBorder="0" applyAlignment="0" applyProtection="0">
      <alignment vertical="center"/>
    </xf>
    <xf numFmtId="0" fontId="44" fillId="31" borderId="68" applyNumberFormat="0" applyAlignment="0" applyProtection="0">
      <alignment vertical="center"/>
    </xf>
    <xf numFmtId="192" fontId="32" fillId="0" borderId="0">
      <alignment vertical="center"/>
    </xf>
    <xf numFmtId="41" fontId="1" fillId="0" borderId="0" applyFont="0" applyFill="0" applyBorder="0" applyAlignment="0" applyProtection="0"/>
    <xf numFmtId="41" fontId="45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0" fontId="1" fillId="0" borderId="0" applyFont="0" applyFill="0" applyBorder="0" applyAlignment="0" applyProtection="0">
      <alignment vertical="center"/>
    </xf>
    <xf numFmtId="179" fontId="5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0" fontId="33" fillId="0" borderId="5"/>
    <xf numFmtId="0" fontId="46" fillId="0" borderId="69" applyNumberFormat="0" applyFill="0" applyAlignment="0" applyProtection="0">
      <alignment vertical="center"/>
    </xf>
    <xf numFmtId="0" fontId="47" fillId="0" borderId="70" applyNumberFormat="0" applyFill="0" applyAlignment="0" applyProtection="0">
      <alignment vertical="center"/>
    </xf>
    <xf numFmtId="0" fontId="8" fillId="0" borderId="0" applyNumberFormat="0" applyBorder="0" applyAlignment="0">
      <alignment horizontal="centerContinuous" vertical="center"/>
    </xf>
    <xf numFmtId="0" fontId="48" fillId="32" borderId="66" applyNumberFormat="0" applyAlignment="0" applyProtection="0">
      <alignment vertical="center"/>
    </xf>
    <xf numFmtId="4" fontId="11" fillId="0" borderId="0">
      <protection locked="0"/>
    </xf>
    <xf numFmtId="193" fontId="5" fillId="0" borderId="0">
      <protection locked="0"/>
    </xf>
    <xf numFmtId="0" fontId="49" fillId="0" borderId="71" applyNumberFormat="0" applyFill="0" applyAlignment="0" applyProtection="0">
      <alignment vertical="center"/>
    </xf>
    <xf numFmtId="0" fontId="50" fillId="0" borderId="72" applyNumberFormat="0" applyFill="0" applyAlignment="0" applyProtection="0">
      <alignment vertical="center"/>
    </xf>
    <xf numFmtId="0" fontId="51" fillId="0" borderId="73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4" fillId="27" borderId="74" applyNumberFormat="0" applyAlignment="0" applyProtection="0">
      <alignment vertical="center"/>
    </xf>
    <xf numFmtId="194" fontId="5" fillId="0" borderId="0" applyFont="0" applyFill="0" applyBorder="0" applyAlignment="0" applyProtection="0"/>
    <xf numFmtId="195" fontId="5" fillId="0" borderId="0" applyFont="0" applyFill="0" applyBorder="0" applyAlignment="0" applyProtection="0"/>
    <xf numFmtId="196" fontId="5" fillId="0" borderId="0" applyFont="0" applyFill="0" applyBorder="0" applyAlignment="0" applyProtection="0"/>
    <xf numFmtId="197" fontId="5" fillId="0" borderId="0">
      <protection locked="0"/>
    </xf>
    <xf numFmtId="0" fontId="37" fillId="0" borderId="0">
      <alignment vertical="center"/>
    </xf>
    <xf numFmtId="0" fontId="1" fillId="0" borderId="0"/>
    <xf numFmtId="0" fontId="37" fillId="0" borderId="0">
      <alignment vertical="center"/>
    </xf>
    <xf numFmtId="0" fontId="37" fillId="0" borderId="0">
      <alignment vertical="center"/>
    </xf>
    <xf numFmtId="0" fontId="19" fillId="0" borderId="0"/>
    <xf numFmtId="0" fontId="1" fillId="0" borderId="0"/>
    <xf numFmtId="0" fontId="1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1" fillId="0" borderId="0"/>
    <xf numFmtId="0" fontId="1" fillId="0" borderId="0">
      <alignment vertical="center"/>
    </xf>
    <xf numFmtId="0" fontId="37" fillId="0" borderId="0">
      <alignment vertical="center"/>
    </xf>
    <xf numFmtId="0" fontId="1" fillId="0" borderId="0">
      <alignment vertical="center"/>
    </xf>
    <xf numFmtId="0" fontId="18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1" fillId="0" borderId="0"/>
    <xf numFmtId="0" fontId="1" fillId="0" borderId="0"/>
    <xf numFmtId="0" fontId="11" fillId="0" borderId="6">
      <protection locked="0"/>
    </xf>
    <xf numFmtId="198" fontId="5" fillId="0" borderId="0">
      <protection locked="0"/>
    </xf>
    <xf numFmtId="199" fontId="5" fillId="0" borderId="0">
      <protection locked="0"/>
    </xf>
    <xf numFmtId="0" fontId="76" fillId="0" borderId="0"/>
    <xf numFmtId="0" fontId="1" fillId="0" borderId="0">
      <alignment vertical="center"/>
    </xf>
    <xf numFmtId="0" fontId="45" fillId="0" borderId="0"/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96" fillId="0" borderId="0"/>
  </cellStyleXfs>
  <cellXfs count="460">
    <xf numFmtId="0" fontId="0" fillId="0" borderId="0" xfId="0"/>
    <xf numFmtId="37" fontId="3" fillId="0" borderId="0" xfId="0" applyNumberFormat="1" applyFont="1" applyAlignment="1"/>
    <xf numFmtId="37" fontId="3" fillId="0" borderId="0" xfId="0" applyNumberFormat="1" applyFont="1" applyAlignment="1">
      <alignment horizontal="left"/>
    </xf>
    <xf numFmtId="37" fontId="3" fillId="0" borderId="0" xfId="0" applyNumberFormat="1" applyFont="1" applyAlignment="1">
      <alignment horizontal="center"/>
    </xf>
    <xf numFmtId="37" fontId="6" fillId="0" borderId="0" xfId="0" applyNumberFormat="1" applyFont="1" applyAlignment="1"/>
    <xf numFmtId="49" fontId="3" fillId="0" borderId="0" xfId="0" applyNumberFormat="1" applyFont="1" applyAlignment="1"/>
    <xf numFmtId="37" fontId="7" fillId="0" borderId="0" xfId="0" applyNumberFormat="1" applyFont="1" applyAlignment="1"/>
    <xf numFmtId="37" fontId="0" fillId="0" borderId="0" xfId="0" applyNumberFormat="1" applyAlignment="1"/>
    <xf numFmtId="0" fontId="3" fillId="0" borderId="0" xfId="0" applyFont="1" applyAlignment="1">
      <alignment horizontal="center"/>
    </xf>
    <xf numFmtId="37" fontId="3" fillId="0" borderId="0" xfId="0" applyNumberFormat="1" applyFont="1" applyAlignment="1">
      <alignment horizontal="right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center" vertical="center" wrapText="1"/>
    </xf>
    <xf numFmtId="178" fontId="17" fillId="0" borderId="0" xfId="0" applyNumberFormat="1" applyFont="1" applyFill="1" applyBorder="1" applyAlignment="1">
      <alignment horizontal="center" vertical="center" wrapText="1"/>
    </xf>
    <xf numFmtId="41" fontId="17" fillId="0" borderId="0" xfId="67" applyFont="1" applyFill="1" applyBorder="1" applyAlignment="1">
      <alignment vertical="center" wrapText="1"/>
    </xf>
    <xf numFmtId="41" fontId="17" fillId="0" borderId="0" xfId="67" applyFont="1" applyFill="1" applyBorder="1" applyAlignment="1">
      <alignment vertical="center"/>
    </xf>
    <xf numFmtId="177" fontId="17" fillId="0" borderId="0" xfId="98" applyNumberFormat="1" applyFont="1" applyFill="1" applyBorder="1" applyAlignment="1">
      <alignment horizontal="center" vertical="center" shrinkToFit="1"/>
    </xf>
    <xf numFmtId="0" fontId="17" fillId="0" borderId="0" xfId="98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37" fontId="3" fillId="0" borderId="0" xfId="0" applyNumberFormat="1" applyFont="1" applyFill="1" applyBorder="1" applyAlignment="1">
      <alignment horizontal="left"/>
    </xf>
    <xf numFmtId="37" fontId="3" fillId="0" borderId="0" xfId="0" applyNumberFormat="1" applyFont="1" applyFill="1" applyBorder="1" applyAlignment="1"/>
    <xf numFmtId="37" fontId="3" fillId="0" borderId="0" xfId="0" applyNumberFormat="1" applyFont="1" applyFill="1" applyBorder="1" applyAlignment="1">
      <alignment horizontal="center"/>
    </xf>
    <xf numFmtId="0" fontId="15" fillId="0" borderId="0" xfId="0" applyFont="1" applyFill="1" applyBorder="1" applyAlignment="1">
      <alignment vertical="center"/>
    </xf>
    <xf numFmtId="37" fontId="56" fillId="0" borderId="7" xfId="0" applyNumberFormat="1" applyFont="1" applyFill="1" applyBorder="1" applyAlignment="1"/>
    <xf numFmtId="37" fontId="56" fillId="0" borderId="0" xfId="0" applyNumberFormat="1" applyFont="1" applyFill="1" applyBorder="1" applyAlignment="1">
      <alignment horizontal="left"/>
    </xf>
    <xf numFmtId="37" fontId="56" fillId="0" borderId="0" xfId="0" applyNumberFormat="1" applyFont="1" applyFill="1" applyBorder="1" applyAlignment="1"/>
    <xf numFmtId="37" fontId="56" fillId="0" borderId="0" xfId="0" applyNumberFormat="1" applyFont="1" applyFill="1" applyBorder="1" applyAlignment="1">
      <alignment horizontal="center"/>
    </xf>
    <xf numFmtId="49" fontId="56" fillId="0" borderId="8" xfId="0" applyNumberFormat="1" applyFont="1" applyFill="1" applyBorder="1" applyAlignment="1"/>
    <xf numFmtId="0" fontId="56" fillId="0" borderId="1" xfId="0" applyFont="1" applyBorder="1" applyAlignment="1">
      <alignment horizontal="center" vertical="center"/>
    </xf>
    <xf numFmtId="41" fontId="56" fillId="0" borderId="1" xfId="0" applyNumberFormat="1" applyFont="1" applyBorder="1" applyAlignment="1">
      <alignment vertical="center"/>
    </xf>
    <xf numFmtId="37" fontId="56" fillId="0" borderId="1" xfId="0" applyNumberFormat="1" applyFont="1" applyBorder="1" applyAlignment="1">
      <alignment horizontal="center" vertical="center" wrapText="1"/>
    </xf>
    <xf numFmtId="41" fontId="57" fillId="0" borderId="1" xfId="0" applyNumberFormat="1" applyFont="1" applyBorder="1" applyAlignment="1">
      <alignment horizontal="right" vertical="center"/>
    </xf>
    <xf numFmtId="37" fontId="56" fillId="0" borderId="1" xfId="0" applyNumberFormat="1" applyFont="1" applyBorder="1" applyAlignment="1">
      <alignment horizontal="center" vertical="center"/>
    </xf>
    <xf numFmtId="37" fontId="56" fillId="0" borderId="1" xfId="0" applyNumberFormat="1" applyFont="1" applyBorder="1" applyAlignment="1">
      <alignment vertical="center"/>
    </xf>
    <xf numFmtId="49" fontId="56" fillId="0" borderId="10" xfId="0" applyNumberFormat="1" applyFont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 wrapText="1"/>
    </xf>
    <xf numFmtId="0" fontId="56" fillId="0" borderId="9" xfId="0" applyFont="1" applyBorder="1" applyAlignment="1">
      <alignment horizontal="center" vertical="center" wrapText="1"/>
    </xf>
    <xf numFmtId="177" fontId="56" fillId="0" borderId="1" xfId="0" applyNumberFormat="1" applyFont="1" applyBorder="1" applyAlignment="1">
      <alignment vertical="center"/>
    </xf>
    <xf numFmtId="37" fontId="57" fillId="0" borderId="9" xfId="0" applyNumberFormat="1" applyFont="1" applyBorder="1" applyAlignment="1">
      <alignment horizontal="center" vertical="center"/>
    </xf>
    <xf numFmtId="49" fontId="57" fillId="0" borderId="1" xfId="0" applyNumberFormat="1" applyFont="1" applyBorder="1" applyAlignment="1">
      <alignment horizontal="center" vertical="center"/>
    </xf>
    <xf numFmtId="37" fontId="57" fillId="0" borderId="1" xfId="0" applyNumberFormat="1" applyFont="1" applyBorder="1" applyAlignment="1">
      <alignment horizontal="center" vertical="center"/>
    </xf>
    <xf numFmtId="41" fontId="57" fillId="0" borderId="1" xfId="0" applyNumberFormat="1" applyFont="1" applyBorder="1" applyAlignment="1">
      <alignment horizontal="center" vertical="center"/>
    </xf>
    <xf numFmtId="37" fontId="57" fillId="0" borderId="1" xfId="0" applyNumberFormat="1" applyFont="1" applyBorder="1" applyAlignment="1">
      <alignment vertical="center"/>
    </xf>
    <xf numFmtId="37" fontId="57" fillId="0" borderId="11" xfId="0" applyNumberFormat="1" applyFont="1" applyBorder="1" applyAlignment="1">
      <alignment horizontal="center" vertical="center"/>
    </xf>
    <xf numFmtId="37" fontId="57" fillId="34" borderId="12" xfId="0" applyNumberFormat="1" applyFont="1" applyFill="1" applyBorder="1" applyAlignment="1">
      <alignment horizontal="centerContinuous" vertical="center"/>
    </xf>
    <xf numFmtId="37" fontId="57" fillId="34" borderId="13" xfId="0" applyNumberFormat="1" applyFont="1" applyFill="1" applyBorder="1" applyAlignment="1">
      <alignment horizontal="centerContinuous" vertical="center"/>
    </xf>
    <xf numFmtId="37" fontId="57" fillId="34" borderId="3" xfId="0" applyNumberFormat="1" applyFont="1" applyFill="1" applyBorder="1" applyAlignment="1">
      <alignment horizontal="centerContinuous" vertical="center"/>
    </xf>
    <xf numFmtId="37" fontId="57" fillId="34" borderId="14" xfId="0" applyNumberFormat="1" applyFont="1" applyFill="1" applyBorder="1" applyAlignment="1">
      <alignment horizontal="center" vertical="center"/>
    </xf>
    <xf numFmtId="37" fontId="56" fillId="35" borderId="1" xfId="0" applyNumberFormat="1" applyFont="1" applyFill="1" applyBorder="1" applyAlignment="1">
      <alignment vertical="center"/>
    </xf>
    <xf numFmtId="37" fontId="57" fillId="35" borderId="1" xfId="0" applyNumberFormat="1" applyFont="1" applyFill="1" applyBorder="1" applyAlignment="1">
      <alignment horizontal="center" vertical="center"/>
    </xf>
    <xf numFmtId="41" fontId="57" fillId="35" borderId="1" xfId="0" applyNumberFormat="1" applyFont="1" applyFill="1" applyBorder="1" applyAlignment="1">
      <alignment horizontal="center" vertical="center"/>
    </xf>
    <xf numFmtId="37" fontId="57" fillId="35" borderId="1" xfId="0" applyNumberFormat="1" applyFont="1" applyFill="1" applyBorder="1" applyAlignment="1">
      <alignment vertical="center"/>
    </xf>
    <xf numFmtId="41" fontId="57" fillId="35" borderId="1" xfId="0" applyNumberFormat="1" applyFont="1" applyFill="1" applyBorder="1" applyAlignment="1">
      <alignment horizontal="right" vertical="center"/>
    </xf>
    <xf numFmtId="49" fontId="56" fillId="35" borderId="10" xfId="0" applyNumberFormat="1" applyFont="1" applyFill="1" applyBorder="1" applyAlignment="1">
      <alignment horizontal="center" vertical="center"/>
    </xf>
    <xf numFmtId="37" fontId="57" fillId="35" borderId="13" xfId="0" applyNumberFormat="1" applyFont="1" applyFill="1" applyBorder="1" applyAlignment="1">
      <alignment vertical="center" wrapText="1"/>
    </xf>
    <xf numFmtId="37" fontId="56" fillId="0" borderId="13" xfId="0" applyNumberFormat="1" applyFont="1" applyBorder="1" applyAlignment="1">
      <alignment horizontal="center" vertical="center"/>
    </xf>
    <xf numFmtId="0" fontId="56" fillId="0" borderId="13" xfId="0" applyFont="1" applyBorder="1" applyAlignment="1">
      <alignment horizontal="center" vertical="center" wrapText="1"/>
    </xf>
    <xf numFmtId="37" fontId="57" fillId="0" borderId="3" xfId="0" applyNumberFormat="1" applyFont="1" applyBorder="1" applyAlignment="1">
      <alignment horizontal="center" vertical="center"/>
    </xf>
    <xf numFmtId="37" fontId="56" fillId="0" borderId="3" xfId="0" applyNumberFormat="1" applyFont="1" applyBorder="1" applyAlignment="1">
      <alignment horizontal="center" vertical="center"/>
    </xf>
    <xf numFmtId="177" fontId="55" fillId="0" borderId="1" xfId="0" applyNumberFormat="1" applyFont="1" applyFill="1" applyBorder="1" applyAlignment="1">
      <alignment horizontal="left" vertical="center"/>
    </xf>
    <xf numFmtId="177" fontId="55" fillId="0" borderId="1" xfId="0" applyNumberFormat="1" applyFont="1" applyFill="1" applyBorder="1" applyAlignment="1">
      <alignment horizontal="center" vertical="center" shrinkToFit="1"/>
    </xf>
    <xf numFmtId="41" fontId="55" fillId="0" borderId="1" xfId="67" applyFont="1" applyFill="1" applyBorder="1" applyAlignment="1">
      <alignment horizontal="center" vertical="center"/>
    </xf>
    <xf numFmtId="37" fontId="59" fillId="0" borderId="16" xfId="0" applyNumberFormat="1" applyFont="1" applyBorder="1" applyAlignment="1">
      <alignment vertical="center"/>
    </xf>
    <xf numFmtId="0" fontId="1" fillId="0" borderId="0" xfId="122" applyBorder="1" applyAlignment="1">
      <alignment vertical="center"/>
    </xf>
    <xf numFmtId="177" fontId="1" fillId="0" borderId="0" xfId="122" applyNumberFormat="1" applyBorder="1" applyAlignment="1">
      <alignment vertical="center"/>
    </xf>
    <xf numFmtId="0" fontId="14" fillId="0" borderId="0" xfId="122" applyFont="1" applyBorder="1" applyAlignment="1">
      <alignment horizontal="center" vertical="center"/>
    </xf>
    <xf numFmtId="177" fontId="1" fillId="0" borderId="0" xfId="122" applyNumberFormat="1" applyFont="1" applyBorder="1" applyAlignment="1">
      <alignment vertical="center"/>
    </xf>
    <xf numFmtId="177" fontId="0" fillId="0" borderId="0" xfId="122" applyNumberFormat="1" applyFont="1" applyBorder="1" applyAlignment="1">
      <alignment vertical="center"/>
    </xf>
    <xf numFmtId="41" fontId="21" fillId="0" borderId="0" xfId="72" applyNumberFormat="1" applyFont="1" applyBorder="1" applyAlignment="1">
      <alignment vertical="center" shrinkToFit="1"/>
    </xf>
    <xf numFmtId="0" fontId="55" fillId="0" borderId="0" xfId="122" applyFont="1" applyBorder="1" applyAlignment="1">
      <alignment vertical="center"/>
    </xf>
    <xf numFmtId="177" fontId="55" fillId="0" borderId="0" xfId="122" applyNumberFormat="1" applyFont="1" applyBorder="1" applyAlignment="1">
      <alignment vertical="center"/>
    </xf>
    <xf numFmtId="37" fontId="58" fillId="0" borderId="0" xfId="123" applyNumberFormat="1" applyFont="1" applyFill="1" applyBorder="1" applyAlignment="1">
      <alignment vertical="center"/>
    </xf>
    <xf numFmtId="37" fontId="17" fillId="0" borderId="4" xfId="0" applyNumberFormat="1" applyFont="1" applyFill="1" applyBorder="1" applyAlignment="1">
      <alignment vertical="center"/>
    </xf>
    <xf numFmtId="37" fontId="60" fillId="0" borderId="4" xfId="0" applyNumberFormat="1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0" fontId="58" fillId="0" borderId="0" xfId="122" applyFont="1" applyBorder="1" applyAlignment="1">
      <alignment vertical="center"/>
    </xf>
    <xf numFmtId="0" fontId="62" fillId="0" borderId="0" xfId="0" applyFont="1" applyBorder="1" applyAlignment="1">
      <alignment horizontal="center" vertical="center"/>
    </xf>
    <xf numFmtId="0" fontId="62" fillId="0" borderId="0" xfId="113" applyFont="1" applyBorder="1" applyAlignment="1">
      <alignment horizontal="center" vertical="center"/>
    </xf>
    <xf numFmtId="0" fontId="55" fillId="0" borderId="0" xfId="122" applyFont="1" applyBorder="1" applyAlignment="1">
      <alignment horizontal="right" vertical="center"/>
    </xf>
    <xf numFmtId="37" fontId="63" fillId="0" borderId="0" xfId="123" applyNumberFormat="1" applyFont="1" applyFill="1" applyBorder="1" applyAlignment="1">
      <alignment vertical="center"/>
    </xf>
    <xf numFmtId="0" fontId="60" fillId="0" borderId="19" xfId="122" applyFont="1" applyBorder="1" applyAlignment="1">
      <alignment horizontal="center" vertical="center"/>
    </xf>
    <xf numFmtId="0" fontId="60" fillId="0" borderId="18" xfId="122" applyFont="1" applyBorder="1" applyAlignment="1">
      <alignment horizontal="center" vertical="center"/>
    </xf>
    <xf numFmtId="177" fontId="55" fillId="0" borderId="20" xfId="0" applyNumberFormat="1" applyFont="1" applyFill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59" fillId="0" borderId="1" xfId="0" applyFont="1" applyBorder="1" applyAlignment="1">
      <alignment vertical="center"/>
    </xf>
    <xf numFmtId="41" fontId="0" fillId="0" borderId="0" xfId="0" applyNumberFormat="1"/>
    <xf numFmtId="0" fontId="59" fillId="0" borderId="1" xfId="0" applyFont="1" applyFill="1" applyBorder="1" applyAlignment="1">
      <alignment vertical="center"/>
    </xf>
    <xf numFmtId="0" fontId="58" fillId="36" borderId="1" xfId="0" applyFont="1" applyFill="1" applyBorder="1" applyAlignment="1">
      <alignment horizontal="center" vertical="center"/>
    </xf>
    <xf numFmtId="0" fontId="55" fillId="0" borderId="16" xfId="0" applyFont="1" applyBorder="1" applyAlignment="1">
      <alignment vertical="center"/>
    </xf>
    <xf numFmtId="0" fontId="55" fillId="0" borderId="0" xfId="0" applyFont="1"/>
    <xf numFmtId="37" fontId="57" fillId="0" borderId="1" xfId="67" applyNumberFormat="1" applyFont="1" applyBorder="1" applyAlignment="1">
      <alignment vertical="center"/>
    </xf>
    <xf numFmtId="177" fontId="58" fillId="34" borderId="14" xfId="0" applyNumberFormat="1" applyFont="1" applyFill="1" applyBorder="1" applyAlignment="1">
      <alignment horizontal="center" vertical="center"/>
    </xf>
    <xf numFmtId="177" fontId="58" fillId="34" borderId="14" xfId="0" applyNumberFormat="1" applyFont="1" applyFill="1" applyBorder="1" applyAlignment="1">
      <alignment horizontal="center" vertical="center" shrinkToFit="1"/>
    </xf>
    <xf numFmtId="183" fontId="58" fillId="34" borderId="14" xfId="67" applyNumberFormat="1" applyFont="1" applyFill="1" applyBorder="1" applyAlignment="1">
      <alignment horizontal="center" vertical="center"/>
    </xf>
    <xf numFmtId="41" fontId="58" fillId="34" borderId="14" xfId="67" applyFont="1" applyFill="1" applyBorder="1" applyAlignment="1">
      <alignment horizontal="center" vertical="center"/>
    </xf>
    <xf numFmtId="177" fontId="58" fillId="34" borderId="26" xfId="0" applyNumberFormat="1" applyFont="1" applyFill="1" applyBorder="1" applyAlignment="1">
      <alignment horizontal="center" vertical="center"/>
    </xf>
    <xf numFmtId="41" fontId="58" fillId="34" borderId="21" xfId="67" applyFont="1" applyFill="1" applyBorder="1" applyAlignment="1">
      <alignment horizontal="center" vertical="center"/>
    </xf>
    <xf numFmtId="41" fontId="55" fillId="0" borderId="1" xfId="67" applyNumberFormat="1" applyFont="1" applyFill="1" applyBorder="1" applyAlignment="1">
      <alignment horizontal="center" vertical="center"/>
    </xf>
    <xf numFmtId="41" fontId="39" fillId="0" borderId="1" xfId="67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vertical="center"/>
    </xf>
    <xf numFmtId="177" fontId="55" fillId="37" borderId="1" xfId="0" applyNumberFormat="1" applyFont="1" applyFill="1" applyBorder="1" applyAlignment="1">
      <alignment horizontal="left" vertical="center"/>
    </xf>
    <xf numFmtId="177" fontId="55" fillId="37" borderId="1" xfId="0" applyNumberFormat="1" applyFont="1" applyFill="1" applyBorder="1" applyAlignment="1">
      <alignment horizontal="center" vertical="center" shrinkToFit="1"/>
    </xf>
    <xf numFmtId="41" fontId="55" fillId="37" borderId="1" xfId="67" applyNumberFormat="1" applyFont="1" applyFill="1" applyBorder="1" applyAlignment="1">
      <alignment horizontal="center" vertical="center"/>
    </xf>
    <xf numFmtId="41" fontId="55" fillId="37" borderId="1" xfId="67" applyFont="1" applyFill="1" applyBorder="1" applyAlignment="1">
      <alignment horizontal="center" vertical="center"/>
    </xf>
    <xf numFmtId="177" fontId="55" fillId="37" borderId="20" xfId="0" applyNumberFormat="1" applyFont="1" applyFill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0" fontId="47" fillId="38" borderId="21" xfId="98" applyFont="1" applyFill="1" applyBorder="1" applyAlignment="1">
      <alignment vertical="center"/>
    </xf>
    <xf numFmtId="0" fontId="47" fillId="38" borderId="21" xfId="98" applyFont="1" applyFill="1" applyBorder="1" applyAlignment="1">
      <alignment horizontal="center" vertical="center"/>
    </xf>
    <xf numFmtId="0" fontId="37" fillId="38" borderId="21" xfId="98" applyFont="1" applyFill="1" applyBorder="1" applyAlignment="1">
      <alignment horizontal="center" vertical="center"/>
    </xf>
    <xf numFmtId="41" fontId="47" fillId="38" borderId="21" xfId="67" applyFont="1" applyFill="1" applyBorder="1" applyAlignment="1">
      <alignment vertical="center" wrapText="1"/>
    </xf>
    <xf numFmtId="41" fontId="47" fillId="38" borderId="21" xfId="67" applyFont="1" applyFill="1" applyBorder="1" applyAlignment="1">
      <alignment vertical="center"/>
    </xf>
    <xf numFmtId="177" fontId="47" fillId="38" borderId="24" xfId="98" applyNumberFormat="1" applyFont="1" applyFill="1" applyBorder="1" applyAlignment="1">
      <alignment horizontal="center" vertical="center" shrinkToFit="1"/>
    </xf>
    <xf numFmtId="41" fontId="58" fillId="34" borderId="27" xfId="67" applyFont="1" applyFill="1" applyBorder="1" applyAlignment="1">
      <alignment horizontal="center" vertical="center"/>
    </xf>
    <xf numFmtId="41" fontId="55" fillId="0" borderId="1" xfId="67" applyNumberFormat="1" applyFont="1" applyFill="1" applyBorder="1" applyAlignment="1">
      <alignment horizontal="right" vertical="center"/>
    </xf>
    <xf numFmtId="0" fontId="55" fillId="0" borderId="0" xfId="0" applyFont="1" applyBorder="1" applyAlignment="1">
      <alignment vertical="center"/>
    </xf>
    <xf numFmtId="0" fontId="58" fillId="36" borderId="27" xfId="0" applyFont="1" applyFill="1" applyBorder="1" applyAlignment="1">
      <alignment horizontal="center" vertical="center"/>
    </xf>
    <xf numFmtId="0" fontId="58" fillId="36" borderId="28" xfId="0" applyFont="1" applyFill="1" applyBorder="1" applyAlignment="1">
      <alignment horizontal="center" vertical="center"/>
    </xf>
    <xf numFmtId="0" fontId="0" fillId="0" borderId="20" xfId="0" applyBorder="1"/>
    <xf numFmtId="0" fontId="67" fillId="0" borderId="1" xfId="0" applyFont="1" applyBorder="1" applyAlignment="1">
      <alignment vertical="center"/>
    </xf>
    <xf numFmtId="0" fontId="59" fillId="0" borderId="29" xfId="0" applyFont="1" applyBorder="1" applyAlignment="1">
      <alignment vertical="center"/>
    </xf>
    <xf numFmtId="176" fontId="0" fillId="0" borderId="20" xfId="0" applyNumberFormat="1" applyBorder="1" applyAlignment="1">
      <alignment horizontal="right"/>
    </xf>
    <xf numFmtId="41" fontId="58" fillId="34" borderId="27" xfId="67" applyFont="1" applyFill="1" applyBorder="1" applyAlignment="1">
      <alignment horizontal="center" vertical="center"/>
    </xf>
    <xf numFmtId="0" fontId="60" fillId="0" borderId="31" xfId="122" applyFont="1" applyBorder="1" applyAlignment="1">
      <alignment horizontal="center" vertical="center"/>
    </xf>
    <xf numFmtId="0" fontId="60" fillId="0" borderId="32" xfId="122" applyFont="1" applyFill="1" applyBorder="1" applyAlignment="1">
      <alignment horizontal="center" vertical="center"/>
    </xf>
    <xf numFmtId="0" fontId="60" fillId="0" borderId="33" xfId="122" applyFont="1" applyFill="1" applyBorder="1" applyAlignment="1">
      <alignment horizontal="center" vertical="center"/>
    </xf>
    <xf numFmtId="0" fontId="64" fillId="34" borderId="34" xfId="0" applyFont="1" applyFill="1" applyBorder="1" applyAlignment="1">
      <alignment horizontal="center" vertical="center"/>
    </xf>
    <xf numFmtId="0" fontId="64" fillId="34" borderId="27" xfId="0" applyFont="1" applyFill="1" applyBorder="1" applyAlignment="1">
      <alignment horizontal="center" vertical="center"/>
    </xf>
    <xf numFmtId="37" fontId="64" fillId="34" borderId="27" xfId="0" applyNumberFormat="1" applyFont="1" applyFill="1" applyBorder="1" applyAlignment="1">
      <alignment horizontal="center" vertical="center"/>
    </xf>
    <xf numFmtId="37" fontId="64" fillId="34" borderId="27" xfId="0" applyNumberFormat="1" applyFont="1" applyFill="1" applyBorder="1" applyAlignment="1">
      <alignment horizontal="centerContinuous" vertical="center"/>
    </xf>
    <xf numFmtId="37" fontId="64" fillId="34" borderId="28" xfId="0" applyNumberFormat="1" applyFont="1" applyFill="1" applyBorder="1" applyAlignment="1">
      <alignment horizontal="center" vertical="center"/>
    </xf>
    <xf numFmtId="177" fontId="55" fillId="0" borderId="29" xfId="0" applyNumberFormat="1" applyFont="1" applyFill="1" applyBorder="1" applyAlignment="1">
      <alignment horizontal="left" vertical="center"/>
    </xf>
    <xf numFmtId="41" fontId="55" fillId="0" borderId="29" xfId="67" applyFont="1" applyFill="1" applyBorder="1" applyAlignment="1">
      <alignment horizontal="center" vertical="center"/>
    </xf>
    <xf numFmtId="0" fontId="68" fillId="0" borderId="1" xfId="0" applyFont="1" applyBorder="1" applyAlignment="1">
      <alignment vertical="center"/>
    </xf>
    <xf numFmtId="177" fontId="55" fillId="0" borderId="29" xfId="0" applyNumberFormat="1" applyFont="1" applyFill="1" applyBorder="1" applyAlignment="1">
      <alignment horizontal="center" vertical="center" shrinkToFit="1"/>
    </xf>
    <xf numFmtId="41" fontId="55" fillId="0" borderId="29" xfId="67" applyNumberFormat="1" applyFont="1" applyFill="1" applyBorder="1" applyAlignment="1">
      <alignment horizontal="center" vertical="center"/>
    </xf>
    <xf numFmtId="177" fontId="55" fillId="0" borderId="30" xfId="0" applyNumberFormat="1" applyFont="1" applyFill="1" applyBorder="1" applyAlignment="1">
      <alignment horizontal="center" vertical="center"/>
    </xf>
    <xf numFmtId="37" fontId="59" fillId="0" borderId="1" xfId="0" applyNumberFormat="1" applyFont="1" applyBorder="1" applyAlignment="1">
      <alignment horizontal="center" vertical="center"/>
    </xf>
    <xf numFmtId="177" fontId="55" fillId="0" borderId="1" xfId="0" applyNumberFormat="1" applyFont="1" applyFill="1" applyBorder="1" applyAlignment="1">
      <alignment horizontal="center" vertical="center" shrinkToFit="1"/>
    </xf>
    <xf numFmtId="41" fontId="55" fillId="0" borderId="1" xfId="67" applyFont="1" applyFill="1" applyBorder="1" applyAlignment="1">
      <alignment horizontal="center" vertical="center"/>
    </xf>
    <xf numFmtId="177" fontId="55" fillId="0" borderId="20" xfId="0" applyNumberFormat="1" applyFont="1" applyFill="1" applyBorder="1" applyAlignment="1">
      <alignment horizontal="center" vertical="center"/>
    </xf>
    <xf numFmtId="37" fontId="59" fillId="0" borderId="22" xfId="0" applyNumberFormat="1" applyFont="1" applyBorder="1" applyAlignment="1">
      <alignment horizontal="center" vertical="center"/>
    </xf>
    <xf numFmtId="41" fontId="55" fillId="0" borderId="1" xfId="67" applyNumberFormat="1" applyFont="1" applyFill="1" applyBorder="1" applyAlignment="1">
      <alignment horizontal="center" vertical="center"/>
    </xf>
    <xf numFmtId="177" fontId="55" fillId="0" borderId="29" xfId="0" applyNumberFormat="1" applyFont="1" applyFill="1" applyBorder="1" applyAlignment="1">
      <alignment horizontal="left" vertical="center"/>
    </xf>
    <xf numFmtId="41" fontId="55" fillId="0" borderId="29" xfId="67" applyFont="1" applyFill="1" applyBorder="1" applyAlignment="1">
      <alignment horizontal="center" vertical="center"/>
    </xf>
    <xf numFmtId="0" fontId="69" fillId="0" borderId="0" xfId="0" applyFont="1"/>
    <xf numFmtId="0" fontId="70" fillId="0" borderId="0" xfId="0" applyFont="1"/>
    <xf numFmtId="177" fontId="39" fillId="0" borderId="30" xfId="0" applyNumberFormat="1" applyFont="1" applyFill="1" applyBorder="1" applyAlignment="1">
      <alignment horizontal="center" vertical="center"/>
    </xf>
    <xf numFmtId="1" fontId="23" fillId="39" borderId="0" xfId="0" applyNumberFormat="1" applyFont="1" applyFill="1" applyAlignment="1">
      <alignment vertical="center"/>
    </xf>
    <xf numFmtId="41" fontId="24" fillId="39" borderId="1" xfId="73" applyFont="1" applyFill="1" applyBorder="1">
      <alignment vertical="center"/>
    </xf>
    <xf numFmtId="49" fontId="56" fillId="0" borderId="1" xfId="0" applyNumberFormat="1" applyFont="1" applyBorder="1" applyAlignment="1">
      <alignment horizontal="center" vertical="center"/>
    </xf>
    <xf numFmtId="41" fontId="56" fillId="0" borderId="1" xfId="0" applyNumberFormat="1" applyFont="1" applyBorder="1" applyAlignment="1">
      <alignment horizontal="right" vertical="center"/>
    </xf>
    <xf numFmtId="37" fontId="57" fillId="35" borderId="12" xfId="0" applyNumberFormat="1" applyFont="1" applyFill="1" applyBorder="1" applyAlignment="1">
      <alignment horizontal="left" vertical="center"/>
    </xf>
    <xf numFmtId="177" fontId="55" fillId="0" borderId="1" xfId="0" applyNumberFormat="1" applyFont="1" applyFill="1" applyBorder="1" applyAlignment="1">
      <alignment horizontal="left" vertical="center"/>
    </xf>
    <xf numFmtId="0" fontId="63" fillId="0" borderId="0" xfId="122" applyFont="1" applyBorder="1" applyAlignment="1">
      <alignment vertical="center"/>
    </xf>
    <xf numFmtId="0" fontId="59" fillId="0" borderId="1" xfId="0" applyFont="1" applyBorder="1" applyAlignment="1">
      <alignment vertical="center"/>
    </xf>
    <xf numFmtId="0" fontId="1" fillId="0" borderId="0" xfId="0" applyFont="1"/>
    <xf numFmtId="0" fontId="23" fillId="0" borderId="0" xfId="0" applyFont="1"/>
    <xf numFmtId="177" fontId="55" fillId="0" borderId="29" xfId="0" quotePrefix="1" applyNumberFormat="1" applyFont="1" applyFill="1" applyBorder="1" applyAlignment="1">
      <alignment horizontal="left" vertical="center"/>
    </xf>
    <xf numFmtId="0" fontId="24" fillId="39" borderId="1" xfId="0" applyFont="1" applyFill="1" applyBorder="1" applyAlignment="1">
      <alignment vertical="center"/>
    </xf>
    <xf numFmtId="0" fontId="0" fillId="39" borderId="0" xfId="0" applyFont="1" applyFill="1"/>
    <xf numFmtId="185" fontId="26" fillId="39" borderId="1" xfId="73" applyNumberFormat="1" applyFont="1" applyFill="1" applyBorder="1" applyAlignment="1">
      <alignment horizontal="center" vertical="center" wrapText="1"/>
    </xf>
    <xf numFmtId="185" fontId="24" fillId="39" borderId="1" xfId="73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right"/>
    </xf>
    <xf numFmtId="0" fontId="55" fillId="0" borderId="0" xfId="0" applyFont="1" applyBorder="1" applyAlignment="1">
      <alignment horizontal="right" vertical="center"/>
    </xf>
    <xf numFmtId="41" fontId="68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right"/>
    </xf>
    <xf numFmtId="3" fontId="0" fillId="0" borderId="0" xfId="0" applyNumberFormat="1"/>
    <xf numFmtId="0" fontId="34" fillId="0" borderId="20" xfId="0" applyFont="1" applyBorder="1"/>
    <xf numFmtId="1" fontId="34" fillId="39" borderId="0" xfId="0" applyNumberFormat="1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 applyAlignment="1"/>
    <xf numFmtId="0" fontId="56" fillId="0" borderId="1" xfId="0" applyNumberFormat="1" applyFont="1" applyBorder="1" applyAlignment="1">
      <alignment horizontal="center" vertical="center"/>
    </xf>
    <xf numFmtId="0" fontId="59" fillId="0" borderId="1" xfId="95" applyFont="1" applyBorder="1" applyAlignment="1">
      <alignment horizontal="center" vertical="center"/>
    </xf>
    <xf numFmtId="184" fontId="59" fillId="0" borderId="1" xfId="121" applyNumberFormat="1" applyFont="1" applyFill="1" applyBorder="1" applyAlignment="1">
      <alignment horizontal="center" vertical="center"/>
    </xf>
    <xf numFmtId="41" fontId="59" fillId="0" borderId="1" xfId="0" applyNumberFormat="1" applyFont="1" applyBorder="1" applyAlignment="1">
      <alignment horizontal="center" vertical="center"/>
    </xf>
    <xf numFmtId="37" fontId="3" fillId="0" borderId="0" xfId="0" applyNumberFormat="1" applyFont="1" applyFill="1" applyBorder="1" applyAlignment="1">
      <alignment horizontal="right"/>
    </xf>
    <xf numFmtId="177" fontId="59" fillId="0" borderId="1" xfId="0" applyNumberFormat="1" applyFont="1" applyBorder="1" applyAlignment="1">
      <alignment horizontal="right" vertical="center"/>
    </xf>
    <xf numFmtId="37" fontId="0" fillId="0" borderId="0" xfId="0" applyNumberFormat="1" applyAlignment="1">
      <alignment horizontal="right"/>
    </xf>
    <xf numFmtId="37" fontId="59" fillId="0" borderId="20" xfId="0" applyNumberFormat="1" applyFont="1" applyBorder="1" applyAlignment="1">
      <alignment horizontal="right" vertical="center"/>
    </xf>
    <xf numFmtId="0" fontId="5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9" borderId="0" xfId="0" applyFill="1"/>
    <xf numFmtId="1" fontId="24" fillId="39" borderId="0" xfId="0" applyNumberFormat="1" applyFont="1" applyFill="1" applyBorder="1" applyAlignment="1">
      <alignment vertical="center"/>
    </xf>
    <xf numFmtId="0" fontId="70" fillId="0" borderId="0" xfId="0" applyFont="1" applyBorder="1"/>
    <xf numFmtId="0" fontId="0" fillId="39" borderId="0" xfId="0" applyFill="1" applyBorder="1"/>
    <xf numFmtId="49" fontId="75" fillId="41" borderId="10" xfId="0" applyNumberFormat="1" applyFont="1" applyFill="1" applyBorder="1" applyAlignment="1">
      <alignment horizontal="center" vertical="center" wrapText="1"/>
    </xf>
    <xf numFmtId="49" fontId="75" fillId="0" borderId="10" xfId="0" applyNumberFormat="1" applyFont="1" applyBorder="1" applyAlignment="1">
      <alignment horizontal="center" vertical="center" wrapText="1"/>
    </xf>
    <xf numFmtId="0" fontId="68" fillId="0" borderId="1" xfId="0" applyFont="1" applyFill="1" applyBorder="1" applyAlignment="1">
      <alignment horizontal="left" vertical="center"/>
    </xf>
    <xf numFmtId="0" fontId="59" fillId="39" borderId="1" xfId="0" applyFont="1" applyFill="1" applyBorder="1" applyAlignment="1">
      <alignment vertical="center" wrapText="1"/>
    </xf>
    <xf numFmtId="0" fontId="59" fillId="39" borderId="1" xfId="0" applyFont="1" applyFill="1" applyBorder="1" applyAlignment="1">
      <alignment vertical="center"/>
    </xf>
    <xf numFmtId="0" fontId="68" fillId="39" borderId="1" xfId="0" applyFont="1" applyFill="1" applyBorder="1" applyAlignment="1">
      <alignment vertical="center" wrapText="1"/>
    </xf>
    <xf numFmtId="0" fontId="66" fillId="39" borderId="1" xfId="0" applyFont="1" applyFill="1" applyBorder="1" applyAlignment="1">
      <alignment vertical="center"/>
    </xf>
    <xf numFmtId="41" fontId="25" fillId="0" borderId="0" xfId="73" applyFont="1" applyBorder="1">
      <alignment vertical="center"/>
    </xf>
    <xf numFmtId="41" fontId="68" fillId="39" borderId="1" xfId="0" applyNumberFormat="1" applyFont="1" applyFill="1" applyBorder="1" applyAlignment="1">
      <alignment horizontal="right" vertical="center"/>
    </xf>
    <xf numFmtId="0" fontId="0" fillId="39" borderId="20" xfId="0" applyFill="1" applyBorder="1"/>
    <xf numFmtId="177" fontId="0" fillId="39" borderId="20" xfId="0" applyNumberFormat="1" applyFill="1" applyBorder="1" applyAlignment="1">
      <alignment horizontal="right" vertical="center"/>
    </xf>
    <xf numFmtId="176" fontId="0" fillId="39" borderId="20" xfId="0" applyNumberFormat="1" applyFill="1" applyBorder="1" applyAlignment="1">
      <alignment horizontal="right" vertical="center"/>
    </xf>
    <xf numFmtId="1" fontId="24" fillId="39" borderId="0" xfId="117" applyNumberFormat="1" applyFont="1" applyFill="1" applyBorder="1">
      <alignment vertical="center"/>
    </xf>
    <xf numFmtId="0" fontId="24" fillId="39" borderId="0" xfId="0" applyFont="1" applyFill="1" applyBorder="1" applyAlignment="1">
      <alignment vertical="center"/>
    </xf>
    <xf numFmtId="1" fontId="24" fillId="39" borderId="0" xfId="117" applyNumberFormat="1" applyFont="1" applyFill="1" applyBorder="1" applyAlignment="1">
      <alignment horizontal="center" vertical="center"/>
    </xf>
    <xf numFmtId="185" fontId="24" fillId="39" borderId="0" xfId="73" applyNumberFormat="1" applyFont="1" applyFill="1" applyBorder="1" applyAlignment="1">
      <alignment horizontal="center" vertical="center"/>
    </xf>
    <xf numFmtId="1" fontId="24" fillId="39" borderId="0" xfId="116" applyNumberFormat="1" applyFont="1" applyFill="1" applyBorder="1">
      <alignment vertical="center"/>
    </xf>
    <xf numFmtId="1" fontId="24" fillId="39" borderId="0" xfId="116" applyNumberFormat="1" applyFont="1" applyFill="1" applyBorder="1" applyAlignment="1">
      <alignment horizontal="center" vertical="center"/>
    </xf>
    <xf numFmtId="1" fontId="24" fillId="39" borderId="0" xfId="115" applyNumberFormat="1" applyFont="1" applyFill="1" applyBorder="1">
      <alignment vertical="center"/>
    </xf>
    <xf numFmtId="185" fontId="24" fillId="39" borderId="0" xfId="73" applyNumberFormat="1" applyFont="1" applyFill="1" applyBorder="1">
      <alignment vertical="center"/>
    </xf>
    <xf numFmtId="49" fontId="24" fillId="39" borderId="0" xfId="73" quotePrefix="1" applyNumberFormat="1" applyFont="1" applyFill="1" applyBorder="1" applyAlignment="1">
      <alignment horizontal="center" vertical="center"/>
    </xf>
    <xf numFmtId="0" fontId="24" fillId="39" borderId="0" xfId="0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vertical="center"/>
    </xf>
    <xf numFmtId="49" fontId="24" fillId="39" borderId="1" xfId="73" quotePrefix="1" applyNumberFormat="1" applyFont="1" applyFill="1" applyBorder="1" applyAlignment="1">
      <alignment horizontal="center" vertical="center"/>
    </xf>
    <xf numFmtId="1" fontId="59" fillId="39" borderId="1" xfId="0" applyNumberFormat="1" applyFont="1" applyFill="1" applyBorder="1" applyAlignment="1">
      <alignment vertical="center" shrinkToFit="1"/>
    </xf>
    <xf numFmtId="41" fontId="59" fillId="39" borderId="1" xfId="73" applyFont="1" applyFill="1" applyBorder="1">
      <alignment vertical="center"/>
    </xf>
    <xf numFmtId="184" fontId="77" fillId="39" borderId="1" xfId="121" applyNumberFormat="1" applyFont="1" applyFill="1" applyBorder="1" applyAlignment="1">
      <alignment vertical="center"/>
    </xf>
    <xf numFmtId="37" fontId="5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85" fontId="24" fillId="39" borderId="1" xfId="73" applyNumberFormat="1" applyFont="1" applyFill="1" applyBorder="1" applyAlignment="1">
      <alignment horizontal="center" vertical="center"/>
    </xf>
    <xf numFmtId="49" fontId="24" fillId="39" borderId="1" xfId="73" applyNumberFormat="1" applyFont="1" applyFill="1" applyBorder="1" applyAlignment="1">
      <alignment horizontal="center" vertical="center"/>
    </xf>
    <xf numFmtId="0" fontId="62" fillId="0" borderId="17" xfId="0" applyFont="1" applyBorder="1" applyAlignment="1">
      <alignment horizontal="center" vertical="center"/>
    </xf>
    <xf numFmtId="0" fontId="62" fillId="0" borderId="18" xfId="113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49" fontId="78" fillId="0" borderId="0" xfId="0" applyNumberFormat="1" applyFont="1" applyAlignment="1">
      <alignment vertical="center"/>
    </xf>
    <xf numFmtId="0" fontId="78" fillId="0" borderId="0" xfId="0" applyFont="1" applyAlignment="1">
      <alignment vertical="center"/>
    </xf>
    <xf numFmtId="49" fontId="78" fillId="0" borderId="0" xfId="0" applyNumberFormat="1" applyFont="1" applyAlignment="1">
      <alignment horizontal="center" vertical="center"/>
    </xf>
    <xf numFmtId="49" fontId="78" fillId="0" borderId="1" xfId="0" applyNumberFormat="1" applyFont="1" applyBorder="1" applyAlignment="1">
      <alignment horizontal="center" vertical="center"/>
    </xf>
    <xf numFmtId="49" fontId="78" fillId="0" borderId="1" xfId="0" applyNumberFormat="1" applyFont="1" applyBorder="1" applyAlignment="1">
      <alignment vertical="center" shrinkToFit="1"/>
    </xf>
    <xf numFmtId="177" fontId="78" fillId="0" borderId="1" xfId="0" applyNumberFormat="1" applyFont="1" applyBorder="1" applyAlignment="1">
      <alignment vertical="center"/>
    </xf>
    <xf numFmtId="177" fontId="78" fillId="0" borderId="1" xfId="67" applyNumberFormat="1" applyFont="1" applyBorder="1" applyAlignment="1">
      <alignment vertical="center"/>
    </xf>
    <xf numFmtId="49" fontId="78" fillId="0" borderId="1" xfId="0" applyNumberFormat="1" applyFont="1" applyFill="1" applyBorder="1" applyAlignment="1">
      <alignment vertical="center" shrinkToFit="1"/>
    </xf>
    <xf numFmtId="49" fontId="78" fillId="0" borderId="1" xfId="0" applyNumberFormat="1" applyFont="1" applyFill="1" applyBorder="1" applyAlignment="1">
      <alignment horizontal="center" vertical="center"/>
    </xf>
    <xf numFmtId="49" fontId="78" fillId="0" borderId="1" xfId="0" applyNumberFormat="1" applyFont="1" applyBorder="1" applyAlignment="1">
      <alignment vertical="center"/>
    </xf>
    <xf numFmtId="49" fontId="78" fillId="39" borderId="1" xfId="0" applyNumberFormat="1" applyFont="1" applyFill="1" applyBorder="1" applyAlignment="1">
      <alignment horizontal="center" vertical="center"/>
    </xf>
    <xf numFmtId="49" fontId="78" fillId="39" borderId="1" xfId="0" applyNumberFormat="1" applyFont="1" applyFill="1" applyBorder="1" applyAlignment="1">
      <alignment vertical="center" shrinkToFit="1"/>
    </xf>
    <xf numFmtId="49" fontId="79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vertical="center"/>
    </xf>
    <xf numFmtId="177" fontId="0" fillId="0" borderId="0" xfId="0" applyNumberFormat="1" applyBorder="1" applyAlignment="1">
      <alignment vertical="center"/>
    </xf>
    <xf numFmtId="177" fontId="78" fillId="0" borderId="0" xfId="0" applyNumberFormat="1" applyFont="1" applyAlignment="1">
      <alignment vertical="center"/>
    </xf>
    <xf numFmtId="0" fontId="78" fillId="0" borderId="0" xfId="0" applyFont="1" applyAlignment="1">
      <alignment horizontal="center" vertical="center"/>
    </xf>
    <xf numFmtId="49" fontId="78" fillId="0" borderId="0" xfId="0" applyNumberFormat="1" applyFont="1" applyBorder="1" applyAlignment="1">
      <alignment horizontal="center" vertical="center"/>
    </xf>
    <xf numFmtId="177" fontId="78" fillId="0" borderId="1" xfId="0" applyNumberFormat="1" applyFont="1" applyBorder="1" applyAlignment="1">
      <alignment horizontal="center" vertical="center"/>
    </xf>
    <xf numFmtId="49" fontId="78" fillId="0" borderId="12" xfId="0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177" fontId="0" fillId="0" borderId="3" xfId="0" applyNumberFormat="1" applyBorder="1" applyAlignment="1">
      <alignment vertical="center"/>
    </xf>
    <xf numFmtId="0" fontId="78" fillId="0" borderId="1" xfId="0" applyNumberFormat="1" applyFont="1" applyBorder="1" applyAlignment="1">
      <alignment horizontal="center" vertical="center"/>
    </xf>
    <xf numFmtId="0" fontId="78" fillId="0" borderId="0" xfId="0" applyNumberFormat="1" applyFont="1" applyAlignment="1">
      <alignment horizontal="center" vertical="center"/>
    </xf>
    <xf numFmtId="185" fontId="26" fillId="39" borderId="1" xfId="73" applyNumberFormat="1" applyFont="1" applyFill="1" applyBorder="1" applyAlignment="1">
      <alignment horizontal="center" vertical="center"/>
    </xf>
    <xf numFmtId="0" fontId="78" fillId="0" borderId="1" xfId="0" applyNumberFormat="1" applyFont="1" applyBorder="1" applyAlignment="1">
      <alignment vertical="center"/>
    </xf>
    <xf numFmtId="200" fontId="68" fillId="0" borderId="1" xfId="0" applyNumberFormat="1" applyFont="1" applyBorder="1" applyAlignment="1">
      <alignment vertical="center"/>
    </xf>
    <xf numFmtId="200" fontId="59" fillId="0" borderId="1" xfId="0" applyNumberFormat="1" applyFont="1" applyBorder="1" applyAlignment="1">
      <alignment vertical="center"/>
    </xf>
    <xf numFmtId="200" fontId="59" fillId="0" borderId="1" xfId="0" applyNumberFormat="1" applyFont="1" applyBorder="1" applyAlignment="1">
      <alignment horizontal="right" vertical="center"/>
    </xf>
    <xf numFmtId="200" fontId="59" fillId="39" borderId="1" xfId="0" applyNumberFormat="1" applyFont="1" applyFill="1" applyBorder="1" applyAlignment="1">
      <alignment vertical="center"/>
    </xf>
    <xf numFmtId="37" fontId="59" fillId="0" borderId="23" xfId="0" applyNumberFormat="1" applyFont="1" applyBorder="1" applyAlignment="1">
      <alignment horizontal="center" vertical="center"/>
    </xf>
    <xf numFmtId="0" fontId="59" fillId="0" borderId="21" xfId="95" applyFont="1" applyBorder="1" applyAlignment="1">
      <alignment horizontal="center" vertical="center"/>
    </xf>
    <xf numFmtId="184" fontId="59" fillId="0" borderId="21" xfId="121" applyNumberFormat="1" applyFont="1" applyFill="1" applyBorder="1" applyAlignment="1">
      <alignment horizontal="center" vertical="center"/>
    </xf>
    <xf numFmtId="37" fontId="59" fillId="0" borderId="21" xfId="0" applyNumberFormat="1" applyFont="1" applyBorder="1" applyAlignment="1">
      <alignment horizontal="center" vertical="center"/>
    </xf>
    <xf numFmtId="41" fontId="59" fillId="0" borderId="21" xfId="0" applyNumberFormat="1" applyFont="1" applyBorder="1" applyAlignment="1">
      <alignment horizontal="center" vertical="center"/>
    </xf>
    <xf numFmtId="177" fontId="59" fillId="0" borderId="21" xfId="0" applyNumberFormat="1" applyFont="1" applyBorder="1" applyAlignment="1">
      <alignment horizontal="right" vertical="center"/>
    </xf>
    <xf numFmtId="37" fontId="59" fillId="0" borderId="24" xfId="0" applyNumberFormat="1" applyFont="1" applyBorder="1" applyAlignment="1">
      <alignment horizontal="right" vertical="center"/>
    </xf>
    <xf numFmtId="37" fontId="73" fillId="0" borderId="0" xfId="0" applyNumberFormat="1" applyFont="1" applyAlignment="1">
      <alignment vertical="center"/>
    </xf>
    <xf numFmtId="37" fontId="22" fillId="0" borderId="0" xfId="0" applyNumberFormat="1" applyFont="1" applyAlignment="1">
      <alignment vertical="center"/>
    </xf>
    <xf numFmtId="37" fontId="3" fillId="0" borderId="0" xfId="0" applyNumberFormat="1" applyFont="1" applyBorder="1" applyAlignment="1"/>
    <xf numFmtId="37" fontId="3" fillId="0" borderId="0" xfId="0" applyNumberFormat="1" applyFont="1" applyBorder="1" applyAlignment="1">
      <alignment horizontal="left"/>
    </xf>
    <xf numFmtId="37" fontId="3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/>
    <xf numFmtId="41" fontId="0" fillId="0" borderId="0" xfId="67" applyFont="1" applyBorder="1" applyAlignment="1">
      <alignment horizontal="right" vertical="center"/>
    </xf>
    <xf numFmtId="41" fontId="0" fillId="0" borderId="3" xfId="67" applyFont="1" applyBorder="1" applyAlignment="1">
      <alignment horizontal="right" vertical="center"/>
    </xf>
    <xf numFmtId="41" fontId="78" fillId="0" borderId="1" xfId="67" applyFont="1" applyBorder="1" applyAlignment="1">
      <alignment horizontal="right" vertical="center"/>
    </xf>
    <xf numFmtId="183" fontId="78" fillId="0" borderId="1" xfId="67" applyNumberFormat="1" applyFont="1" applyBorder="1" applyAlignment="1">
      <alignment horizontal="right" vertical="center"/>
    </xf>
    <xf numFmtId="41" fontId="78" fillId="0" borderId="0" xfId="67" applyFont="1" applyAlignment="1">
      <alignment horizontal="right" vertical="center"/>
    </xf>
    <xf numFmtId="185" fontId="24" fillId="39" borderId="1" xfId="73" applyNumberFormat="1" applyFont="1" applyFill="1" applyBorder="1" applyAlignment="1">
      <alignment horizontal="center" vertical="center"/>
    </xf>
    <xf numFmtId="41" fontId="0" fillId="0" borderId="0" xfId="67" applyFont="1"/>
    <xf numFmtId="10" fontId="0" fillId="0" borderId="0" xfId="130" applyNumberFormat="1" applyFont="1" applyAlignment="1"/>
    <xf numFmtId="185" fontId="24" fillId="39" borderId="1" xfId="73" applyNumberFormat="1" applyFont="1" applyFill="1" applyBorder="1" applyAlignment="1">
      <alignment horizontal="center" vertical="center"/>
    </xf>
    <xf numFmtId="185" fontId="80" fillId="42" borderId="1" xfId="73" applyNumberFormat="1" applyFont="1" applyFill="1" applyBorder="1" applyAlignment="1">
      <alignment horizontal="center" vertical="center"/>
    </xf>
    <xf numFmtId="0" fontId="81" fillId="0" borderId="0" xfId="0" applyFont="1" applyAlignment="1">
      <alignment vertical="center" wrapText="1"/>
    </xf>
    <xf numFmtId="49" fontId="80" fillId="42" borderId="1" xfId="73" applyNumberFormat="1" applyFont="1" applyFill="1" applyBorder="1" applyAlignment="1">
      <alignment horizontal="center" vertical="center" wrapText="1"/>
    </xf>
    <xf numFmtId="201" fontId="3" fillId="0" borderId="0" xfId="0" applyNumberFormat="1" applyFont="1" applyAlignment="1"/>
    <xf numFmtId="0" fontId="0" fillId="0" borderId="30" xfId="0" applyBorder="1" applyAlignment="1">
      <alignment vertical="center"/>
    </xf>
    <xf numFmtId="0" fontId="59" fillId="43" borderId="21" xfId="0" applyFont="1" applyFill="1" applyBorder="1" applyAlignment="1">
      <alignment vertical="center"/>
    </xf>
    <xf numFmtId="41" fontId="64" fillId="43" borderId="21" xfId="0" applyNumberFormat="1" applyFont="1" applyFill="1" applyBorder="1" applyAlignment="1">
      <alignment horizontal="right" vertical="center"/>
    </xf>
    <xf numFmtId="0" fontId="0" fillId="43" borderId="24" xfId="0" applyFont="1" applyFill="1" applyBorder="1" applyAlignment="1">
      <alignment vertical="center"/>
    </xf>
    <xf numFmtId="0" fontId="78" fillId="0" borderId="0" xfId="131" applyFont="1">
      <alignment vertical="center"/>
    </xf>
    <xf numFmtId="0" fontId="82" fillId="0" borderId="0" xfId="131" applyFont="1">
      <alignment vertical="center"/>
    </xf>
    <xf numFmtId="0" fontId="84" fillId="0" borderId="0" xfId="131" applyFont="1" applyAlignment="1">
      <alignment horizontal="justify" vertical="center" wrapText="1"/>
    </xf>
    <xf numFmtId="0" fontId="85" fillId="0" borderId="0" xfId="131" applyFont="1" applyAlignment="1">
      <alignment vertical="top"/>
    </xf>
    <xf numFmtId="0" fontId="86" fillId="0" borderId="0" xfId="131" applyFont="1" applyAlignment="1">
      <alignment vertical="top"/>
    </xf>
    <xf numFmtId="0" fontId="87" fillId="0" borderId="0" xfId="131" applyFont="1">
      <alignment vertical="center"/>
    </xf>
    <xf numFmtId="0" fontId="87" fillId="0" borderId="0" xfId="131" applyFont="1" applyAlignment="1">
      <alignment horizontal="right"/>
    </xf>
    <xf numFmtId="0" fontId="89" fillId="0" borderId="0" xfId="131" applyFont="1">
      <alignment vertical="center"/>
    </xf>
    <xf numFmtId="0" fontId="90" fillId="0" borderId="0" xfId="131" applyFont="1" applyAlignment="1">
      <alignment horizontal="right"/>
    </xf>
    <xf numFmtId="0" fontId="91" fillId="44" borderId="81" xfId="131" applyFont="1" applyFill="1" applyBorder="1" applyAlignment="1">
      <alignment horizontal="center" vertical="center" wrapText="1"/>
    </xf>
    <xf numFmtId="3" fontId="93" fillId="0" borderId="14" xfId="131" applyNumberFormat="1" applyFont="1" applyFill="1" applyBorder="1" applyAlignment="1">
      <alignment horizontal="right" vertical="center" shrinkToFit="1"/>
    </xf>
    <xf numFmtId="3" fontId="93" fillId="0" borderId="14" xfId="131" applyNumberFormat="1" applyFont="1" applyFill="1" applyBorder="1" applyAlignment="1">
      <alignment vertical="center" shrinkToFit="1"/>
    </xf>
    <xf numFmtId="3" fontId="94" fillId="0" borderId="26" xfId="131" applyNumberFormat="1" applyFont="1" applyFill="1" applyBorder="1" applyAlignment="1">
      <alignment horizontal="right" vertical="center" shrinkToFit="1"/>
    </xf>
    <xf numFmtId="0" fontId="97" fillId="0" borderId="0" xfId="134" applyFont="1" applyFill="1" applyAlignment="1">
      <alignment horizontal="left" vertical="center"/>
    </xf>
    <xf numFmtId="0" fontId="79" fillId="0" borderId="0" xfId="131" applyFont="1">
      <alignment vertical="center"/>
    </xf>
    <xf numFmtId="3" fontId="95" fillId="43" borderId="65" xfId="131" applyNumberFormat="1" applyFont="1" applyFill="1" applyBorder="1" applyAlignment="1">
      <alignment horizontal="right" vertical="center" shrinkToFit="1"/>
    </xf>
    <xf numFmtId="10" fontId="95" fillId="43" borderId="85" xfId="133" applyNumberFormat="1" applyFont="1" applyFill="1" applyBorder="1" applyAlignment="1">
      <alignment horizontal="right" vertical="center" shrinkToFit="1"/>
    </xf>
    <xf numFmtId="37" fontId="55" fillId="0" borderId="0" xfId="0" applyNumberFormat="1" applyFont="1" applyBorder="1" applyAlignment="1">
      <alignment vertical="center"/>
    </xf>
    <xf numFmtId="185" fontId="24" fillId="0" borderId="1" xfId="73" applyNumberFormat="1" applyFont="1" applyFill="1" applyBorder="1" applyAlignment="1">
      <alignment horizontal="center" vertical="center"/>
    </xf>
    <xf numFmtId="185" fontId="24" fillId="42" borderId="1" xfId="73" applyNumberFormat="1" applyFont="1" applyFill="1" applyBorder="1" applyAlignment="1">
      <alignment horizontal="center" vertical="center"/>
    </xf>
    <xf numFmtId="185" fontId="80" fillId="0" borderId="1" xfId="73" applyNumberFormat="1" applyFont="1" applyFill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62" fillId="0" borderId="1" xfId="0" applyFont="1" applyBorder="1" applyAlignment="1">
      <alignment horizontal="center" vertical="center"/>
    </xf>
    <xf numFmtId="0" fontId="63" fillId="40" borderId="47" xfId="122" applyFont="1" applyFill="1" applyBorder="1" applyAlignment="1">
      <alignment horizontal="center" vertical="center"/>
    </xf>
    <xf numFmtId="0" fontId="63" fillId="40" borderId="36" xfId="122" applyFont="1" applyFill="1" applyBorder="1" applyAlignment="1">
      <alignment horizontal="center" vertical="center"/>
    </xf>
    <xf numFmtId="0" fontId="63" fillId="40" borderId="48" xfId="122" applyFont="1" applyFill="1" applyBorder="1" applyAlignment="1">
      <alignment horizontal="center" vertical="center"/>
    </xf>
    <xf numFmtId="0" fontId="63" fillId="40" borderId="45" xfId="122" applyFont="1" applyFill="1" applyBorder="1" applyAlignment="1">
      <alignment horizontal="center" vertical="center"/>
    </xf>
    <xf numFmtId="0" fontId="65" fillId="0" borderId="87" xfId="122" applyFont="1" applyFill="1" applyBorder="1" applyAlignment="1">
      <alignment horizontal="center" vertical="center"/>
    </xf>
    <xf numFmtId="0" fontId="65" fillId="0" borderId="40" xfId="122" applyFont="1" applyFill="1" applyBorder="1" applyAlignment="1">
      <alignment horizontal="center" vertical="center"/>
    </xf>
    <xf numFmtId="0" fontId="65" fillId="0" borderId="87" xfId="122" applyFont="1" applyFill="1" applyBorder="1" applyAlignment="1">
      <alignment horizontal="right" vertical="center"/>
    </xf>
    <xf numFmtId="0" fontId="65" fillId="0" borderId="39" xfId="122" applyFont="1" applyFill="1" applyBorder="1" applyAlignment="1">
      <alignment horizontal="right" vertical="center"/>
    </xf>
    <xf numFmtId="0" fontId="65" fillId="0" borderId="40" xfId="122" applyFont="1" applyFill="1" applyBorder="1" applyAlignment="1">
      <alignment horizontal="right" vertical="center"/>
    </xf>
    <xf numFmtId="0" fontId="60" fillId="0" borderId="37" xfId="122" applyFont="1" applyFill="1" applyBorder="1" applyAlignment="1">
      <alignment horizontal="right" vertical="center"/>
    </xf>
    <xf numFmtId="0" fontId="60" fillId="0" borderId="38" xfId="122" applyFont="1" applyFill="1" applyBorder="1" applyAlignment="1">
      <alignment horizontal="right" vertical="center"/>
    </xf>
    <xf numFmtId="0" fontId="60" fillId="0" borderId="41" xfId="122" applyFont="1" applyFill="1" applyBorder="1" applyAlignment="1">
      <alignment horizontal="right" vertical="center"/>
    </xf>
    <xf numFmtId="0" fontId="60" fillId="0" borderId="31" xfId="122" applyFont="1" applyBorder="1" applyAlignment="1">
      <alignment horizontal="center" vertical="center" wrapText="1"/>
    </xf>
    <xf numFmtId="0" fontId="60" fillId="0" borderId="55" xfId="122" applyFont="1" applyBorder="1" applyAlignment="1">
      <alignment horizontal="center" vertical="center" wrapText="1"/>
    </xf>
    <xf numFmtId="0" fontId="60" fillId="0" borderId="14" xfId="122" applyFont="1" applyBorder="1" applyAlignment="1">
      <alignment horizontal="center" vertical="center" wrapText="1"/>
    </xf>
    <xf numFmtId="0" fontId="71" fillId="0" borderId="0" xfId="122" applyFont="1" applyBorder="1" applyAlignment="1">
      <alignment horizontal="center" vertical="center"/>
    </xf>
    <xf numFmtId="41" fontId="65" fillId="0" borderId="87" xfId="122" applyNumberFormat="1" applyFont="1" applyFill="1" applyBorder="1" applyAlignment="1">
      <alignment horizontal="center" vertical="center"/>
    </xf>
    <xf numFmtId="41" fontId="65" fillId="0" borderId="39" xfId="122" applyNumberFormat="1" applyFont="1" applyFill="1" applyBorder="1" applyAlignment="1">
      <alignment horizontal="center" vertical="center"/>
    </xf>
    <xf numFmtId="41" fontId="65" fillId="0" borderId="40" xfId="122" applyNumberFormat="1" applyFont="1" applyFill="1" applyBorder="1" applyAlignment="1">
      <alignment horizontal="center" vertical="center"/>
    </xf>
    <xf numFmtId="41" fontId="60" fillId="0" borderId="37" xfId="122" applyNumberFormat="1" applyFont="1" applyFill="1" applyBorder="1" applyAlignment="1">
      <alignment horizontal="center" vertical="center"/>
    </xf>
    <xf numFmtId="41" fontId="60" fillId="0" borderId="38" xfId="122" applyNumberFormat="1" applyFont="1" applyFill="1" applyBorder="1" applyAlignment="1">
      <alignment horizontal="center" vertical="center"/>
    </xf>
    <xf numFmtId="41" fontId="60" fillId="0" borderId="41" xfId="122" applyNumberFormat="1" applyFont="1" applyFill="1" applyBorder="1" applyAlignment="1">
      <alignment horizontal="center" vertical="center"/>
    </xf>
    <xf numFmtId="0" fontId="60" fillId="0" borderId="42" xfId="122" applyFont="1" applyFill="1" applyBorder="1" applyAlignment="1">
      <alignment horizontal="right" vertical="center"/>
    </xf>
    <xf numFmtId="0" fontId="60" fillId="0" borderId="46" xfId="122" applyFont="1" applyFill="1" applyBorder="1" applyAlignment="1">
      <alignment horizontal="right" vertical="center"/>
    </xf>
    <xf numFmtId="0" fontId="60" fillId="0" borderId="43" xfId="122" applyFont="1" applyFill="1" applyBorder="1" applyAlignment="1">
      <alignment horizontal="right" vertical="center"/>
    </xf>
    <xf numFmtId="0" fontId="60" fillId="0" borderId="37" xfId="122" applyFont="1" applyFill="1" applyBorder="1" applyAlignment="1">
      <alignment horizontal="center" vertical="center"/>
    </xf>
    <xf numFmtId="0" fontId="60" fillId="0" borderId="41" xfId="122" applyFont="1" applyFill="1" applyBorder="1" applyAlignment="1">
      <alignment horizontal="center" vertical="center"/>
    </xf>
    <xf numFmtId="0" fontId="60" fillId="0" borderId="42" xfId="122" applyFont="1" applyFill="1" applyBorder="1" applyAlignment="1">
      <alignment horizontal="center" vertical="center"/>
    </xf>
    <xf numFmtId="0" fontId="60" fillId="0" borderId="43" xfId="122" applyFont="1" applyFill="1" applyBorder="1" applyAlignment="1">
      <alignment horizontal="center" vertical="center"/>
    </xf>
    <xf numFmtId="0" fontId="62" fillId="0" borderId="17" xfId="0" applyFont="1" applyBorder="1" applyAlignment="1">
      <alignment horizontal="center" vertical="center"/>
    </xf>
    <xf numFmtId="0" fontId="62" fillId="0" borderId="18" xfId="113" applyFont="1" applyBorder="1" applyAlignment="1">
      <alignment horizontal="center" vertical="center"/>
    </xf>
    <xf numFmtId="41" fontId="60" fillId="0" borderId="42" xfId="122" applyNumberFormat="1" applyFont="1" applyFill="1" applyBorder="1" applyAlignment="1">
      <alignment horizontal="center" vertical="center"/>
    </xf>
    <xf numFmtId="41" fontId="60" fillId="0" borderId="46" xfId="122" applyNumberFormat="1" applyFont="1" applyFill="1" applyBorder="1" applyAlignment="1">
      <alignment horizontal="center" vertical="center"/>
    </xf>
    <xf numFmtId="41" fontId="60" fillId="0" borderId="43" xfId="122" applyNumberFormat="1" applyFont="1" applyFill="1" applyBorder="1" applyAlignment="1">
      <alignment horizontal="center" vertical="center"/>
    </xf>
    <xf numFmtId="0" fontId="63" fillId="40" borderId="44" xfId="122" applyFont="1" applyFill="1" applyBorder="1" applyAlignment="1">
      <alignment horizontal="center" vertical="center"/>
    </xf>
    <xf numFmtId="0" fontId="63" fillId="40" borderId="16" xfId="122" applyFont="1" applyFill="1" applyBorder="1" applyAlignment="1">
      <alignment horizontal="center" vertical="center"/>
    </xf>
    <xf numFmtId="0" fontId="83" fillId="0" borderId="0" xfId="131" applyFont="1" applyAlignment="1">
      <alignment horizontal="center" vertical="center" wrapText="1"/>
    </xf>
    <xf numFmtId="0" fontId="88" fillId="0" borderId="4" xfId="131" applyFont="1" applyBorder="1" applyAlignment="1">
      <alignment horizontal="left" vertical="center"/>
    </xf>
    <xf numFmtId="0" fontId="91" fillId="44" borderId="57" xfId="131" applyFont="1" applyFill="1" applyBorder="1" applyAlignment="1">
      <alignment horizontal="center" vertical="center" wrapText="1"/>
    </xf>
    <xf numFmtId="0" fontId="91" fillId="44" borderId="58" xfId="131" applyFont="1" applyFill="1" applyBorder="1" applyAlignment="1">
      <alignment horizontal="center" vertical="center" wrapText="1"/>
    </xf>
    <xf numFmtId="0" fontId="91" fillId="44" borderId="79" xfId="131" applyFont="1" applyFill="1" applyBorder="1" applyAlignment="1">
      <alignment horizontal="center" vertical="center" wrapText="1"/>
    </xf>
    <xf numFmtId="0" fontId="91" fillId="44" borderId="80" xfId="131" applyFont="1" applyFill="1" applyBorder="1" applyAlignment="1">
      <alignment horizontal="center" vertical="center" wrapText="1"/>
    </xf>
    <xf numFmtId="0" fontId="91" fillId="44" borderId="27" xfId="131" applyFont="1" applyFill="1" applyBorder="1" applyAlignment="1">
      <alignment horizontal="center" vertical="center" wrapText="1"/>
    </xf>
    <xf numFmtId="0" fontId="91" fillId="44" borderId="81" xfId="131" applyFont="1" applyFill="1" applyBorder="1" applyAlignment="1">
      <alignment horizontal="center" vertical="center" wrapText="1"/>
    </xf>
    <xf numFmtId="0" fontId="91" fillId="44" borderId="28" xfId="131" applyFont="1" applyFill="1" applyBorder="1" applyAlignment="1">
      <alignment horizontal="center" vertical="center" wrapText="1"/>
    </xf>
    <xf numFmtId="0" fontId="91" fillId="44" borderId="82" xfId="131" applyFont="1" applyFill="1" applyBorder="1" applyAlignment="1">
      <alignment horizontal="center" vertical="center" wrapText="1"/>
    </xf>
    <xf numFmtId="0" fontId="93" fillId="43" borderId="14" xfId="131" applyFont="1" applyFill="1" applyBorder="1" applyAlignment="1">
      <alignment horizontal="center" vertical="center" shrinkToFit="1"/>
    </xf>
    <xf numFmtId="0" fontId="93" fillId="43" borderId="21" xfId="131" applyFont="1" applyFill="1" applyBorder="1" applyAlignment="1">
      <alignment horizontal="center" vertical="center" shrinkToFit="1"/>
    </xf>
    <xf numFmtId="3" fontId="91" fillId="43" borderId="14" xfId="131" applyNumberFormat="1" applyFont="1" applyFill="1" applyBorder="1" applyAlignment="1">
      <alignment vertical="center" shrinkToFit="1"/>
    </xf>
    <xf numFmtId="3" fontId="91" fillId="43" borderId="21" xfId="131" applyNumberFormat="1" applyFont="1" applyFill="1" applyBorder="1" applyAlignment="1">
      <alignment vertical="center" shrinkToFit="1"/>
    </xf>
    <xf numFmtId="0" fontId="91" fillId="43" borderId="14" xfId="131" applyFont="1" applyFill="1" applyBorder="1" applyAlignment="1">
      <alignment horizontal="center" vertical="center" shrinkToFit="1"/>
    </xf>
    <xf numFmtId="0" fontId="91" fillId="43" borderId="21" xfId="131" applyFont="1" applyFill="1" applyBorder="1" applyAlignment="1">
      <alignment horizontal="center" vertical="center" shrinkToFit="1"/>
    </xf>
    <xf numFmtId="0" fontId="91" fillId="0" borderId="56" xfId="131" applyFont="1" applyFill="1" applyBorder="1" applyAlignment="1">
      <alignment horizontal="center" vertical="center" wrapText="1" shrinkToFit="1"/>
    </xf>
    <xf numFmtId="0" fontId="91" fillId="0" borderId="45" xfId="131" applyFont="1" applyFill="1" applyBorder="1" applyAlignment="1">
      <alignment horizontal="center" vertical="center" shrinkToFit="1"/>
    </xf>
    <xf numFmtId="41" fontId="91" fillId="0" borderId="48" xfId="132" applyFont="1" applyFill="1" applyBorder="1" applyAlignment="1">
      <alignment horizontal="center" vertical="center" shrinkToFit="1"/>
    </xf>
    <xf numFmtId="41" fontId="91" fillId="0" borderId="16" xfId="132" applyFont="1" applyFill="1" applyBorder="1" applyAlignment="1">
      <alignment horizontal="center" vertical="center" shrinkToFit="1"/>
    </xf>
    <xf numFmtId="41" fontId="91" fillId="0" borderId="45" xfId="132" applyFont="1" applyFill="1" applyBorder="1" applyAlignment="1">
      <alignment horizontal="center" vertical="center" shrinkToFit="1"/>
    </xf>
    <xf numFmtId="0" fontId="91" fillId="43" borderId="83" xfId="131" applyFont="1" applyFill="1" applyBorder="1" applyAlignment="1">
      <alignment horizontal="center" vertical="center" shrinkToFit="1"/>
    </xf>
    <xf numFmtId="0" fontId="91" fillId="43" borderId="84" xfId="131" applyFont="1" applyFill="1" applyBorder="1" applyAlignment="1">
      <alignment horizontal="center" vertical="center" shrinkToFit="1"/>
    </xf>
    <xf numFmtId="0" fontId="91" fillId="43" borderId="35" xfId="131" applyFont="1" applyFill="1" applyBorder="1" applyAlignment="1">
      <alignment horizontal="center" vertical="center" shrinkToFit="1"/>
    </xf>
    <xf numFmtId="0" fontId="91" fillId="43" borderId="59" xfId="131" applyFont="1" applyFill="1" applyBorder="1" applyAlignment="1">
      <alignment horizontal="center" vertical="center" shrinkToFit="1"/>
    </xf>
    <xf numFmtId="41" fontId="68" fillId="39" borderId="29" xfId="0" applyNumberFormat="1" applyFont="1" applyFill="1" applyBorder="1" applyAlignment="1">
      <alignment horizontal="center" vertical="center"/>
    </xf>
    <xf numFmtId="41" fontId="68" fillId="39" borderId="14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58" fillId="36" borderId="51" xfId="0" applyFont="1" applyFill="1" applyBorder="1" applyAlignment="1">
      <alignment horizontal="center" vertical="center"/>
    </xf>
    <xf numFmtId="0" fontId="58" fillId="36" borderId="52" xfId="0" applyFont="1" applyFill="1" applyBorder="1" applyAlignment="1">
      <alignment horizontal="center" vertical="center"/>
    </xf>
    <xf numFmtId="0" fontId="58" fillId="36" borderId="53" xfId="0" applyFont="1" applyFill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9" fillId="0" borderId="54" xfId="0" applyFont="1" applyBorder="1" applyAlignment="1">
      <alignment horizontal="center" vertical="center"/>
    </xf>
    <xf numFmtId="0" fontId="59" fillId="0" borderId="13" xfId="0" applyFont="1" applyBorder="1" applyAlignment="1">
      <alignment horizontal="center" vertical="center"/>
    </xf>
    <xf numFmtId="0" fontId="68" fillId="0" borderId="29" xfId="0" applyFont="1" applyFill="1" applyBorder="1" applyAlignment="1">
      <alignment horizontal="left" vertical="center"/>
    </xf>
    <xf numFmtId="0" fontId="68" fillId="0" borderId="14" xfId="0" applyFont="1" applyFill="1" applyBorder="1" applyAlignment="1">
      <alignment horizontal="left" vertical="center"/>
    </xf>
    <xf numFmtId="0" fontId="64" fillId="43" borderId="49" xfId="0" applyFont="1" applyFill="1" applyBorder="1" applyAlignment="1">
      <alignment horizontal="center" vertical="center"/>
    </xf>
    <xf numFmtId="0" fontId="64" fillId="43" borderId="86" xfId="0" applyFont="1" applyFill="1" applyBorder="1" applyAlignment="1">
      <alignment horizontal="center" vertical="center"/>
    </xf>
    <xf numFmtId="0" fontId="64" fillId="43" borderId="50" xfId="0" applyFont="1" applyFill="1" applyBorder="1" applyAlignment="1">
      <alignment horizontal="center" vertical="center"/>
    </xf>
    <xf numFmtId="0" fontId="59" fillId="0" borderId="29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9" fillId="0" borderId="14" xfId="0" applyFont="1" applyBorder="1" applyAlignment="1">
      <alignment horizontal="center" vertical="center"/>
    </xf>
    <xf numFmtId="0" fontId="59" fillId="0" borderId="75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25" xfId="0" applyFont="1" applyBorder="1" applyAlignment="1">
      <alignment horizontal="center" vertical="center" wrapText="1"/>
    </xf>
    <xf numFmtId="0" fontId="59" fillId="0" borderId="56" xfId="0" applyFont="1" applyBorder="1" applyAlignment="1">
      <alignment horizontal="center" vertical="center"/>
    </xf>
    <xf numFmtId="0" fontId="59" fillId="0" borderId="45" xfId="0" applyFont="1" applyBorder="1" applyAlignment="1">
      <alignment horizontal="center" vertical="center"/>
    </xf>
    <xf numFmtId="0" fontId="65" fillId="37" borderId="54" xfId="95" applyFont="1" applyFill="1" applyBorder="1" applyAlignment="1">
      <alignment horizontal="center" vertical="center"/>
    </xf>
    <xf numFmtId="0" fontId="65" fillId="37" borderId="13" xfId="95" applyFont="1" applyFill="1" applyBorder="1" applyAlignment="1">
      <alignment horizontal="center" vertical="center"/>
    </xf>
    <xf numFmtId="177" fontId="47" fillId="38" borderId="49" xfId="0" applyNumberFormat="1" applyFont="1" applyFill="1" applyBorder="1" applyAlignment="1">
      <alignment horizontal="center" vertical="center"/>
    </xf>
    <xf numFmtId="177" fontId="47" fillId="38" borderId="50" xfId="0" applyNumberFormat="1" applyFont="1" applyFill="1" applyBorder="1" applyAlignment="1">
      <alignment horizontal="center" vertical="center"/>
    </xf>
    <xf numFmtId="0" fontId="55" fillId="0" borderId="54" xfId="95" applyFont="1" applyBorder="1" applyAlignment="1">
      <alignment horizontal="center" vertical="center"/>
    </xf>
    <xf numFmtId="0" fontId="55" fillId="0" borderId="13" xfId="95" applyFont="1" applyBorder="1" applyAlignment="1">
      <alignment horizontal="center" vertical="center"/>
    </xf>
    <xf numFmtId="37" fontId="73" fillId="0" borderId="0" xfId="0" applyNumberFormat="1" applyFont="1" applyAlignment="1">
      <alignment horizontal="center" vertical="center"/>
    </xf>
    <xf numFmtId="37" fontId="22" fillId="0" borderId="0" xfId="0" applyNumberFormat="1" applyFont="1" applyAlignment="1">
      <alignment horizontal="center" vertical="center"/>
    </xf>
    <xf numFmtId="177" fontId="58" fillId="34" borderId="57" xfId="0" applyNumberFormat="1" applyFont="1" applyFill="1" applyBorder="1" applyAlignment="1">
      <alignment horizontal="center" vertical="center"/>
    </xf>
    <xf numFmtId="177" fontId="58" fillId="34" borderId="58" xfId="0" applyNumberFormat="1" applyFont="1" applyFill="1" applyBorder="1" applyAlignment="1">
      <alignment horizontal="center" vertical="center"/>
    </xf>
    <xf numFmtId="177" fontId="58" fillId="34" borderId="35" xfId="0" applyNumberFormat="1" applyFont="1" applyFill="1" applyBorder="1" applyAlignment="1">
      <alignment horizontal="center" vertical="center"/>
    </xf>
    <xf numFmtId="177" fontId="58" fillId="34" borderId="59" xfId="0" applyNumberFormat="1" applyFont="1" applyFill="1" applyBorder="1" applyAlignment="1">
      <alignment horizontal="center" vertical="center"/>
    </xf>
    <xf numFmtId="177" fontId="58" fillId="34" borderId="28" xfId="0" applyNumberFormat="1" applyFont="1" applyFill="1" applyBorder="1" applyAlignment="1">
      <alignment horizontal="center" vertical="center"/>
    </xf>
    <xf numFmtId="177" fontId="58" fillId="34" borderId="24" xfId="0" applyNumberFormat="1" applyFont="1" applyFill="1" applyBorder="1" applyAlignment="1">
      <alignment horizontal="center" vertical="center"/>
    </xf>
    <xf numFmtId="177" fontId="58" fillId="34" borderId="27" xfId="0" applyNumberFormat="1" applyFont="1" applyFill="1" applyBorder="1" applyAlignment="1">
      <alignment horizontal="center" vertical="center"/>
    </xf>
    <xf numFmtId="177" fontId="58" fillId="34" borderId="21" xfId="0" applyNumberFormat="1" applyFont="1" applyFill="1" applyBorder="1" applyAlignment="1">
      <alignment horizontal="center" vertical="center"/>
    </xf>
    <xf numFmtId="177" fontId="58" fillId="34" borderId="27" xfId="0" applyNumberFormat="1" applyFont="1" applyFill="1" applyBorder="1" applyAlignment="1">
      <alignment horizontal="center" vertical="center" shrinkToFit="1"/>
    </xf>
    <xf numFmtId="177" fontId="58" fillId="34" borderId="21" xfId="0" applyNumberFormat="1" applyFont="1" applyFill="1" applyBorder="1" applyAlignment="1">
      <alignment horizontal="center" vertical="center" shrinkToFit="1"/>
    </xf>
    <xf numFmtId="183" fontId="58" fillId="34" borderId="27" xfId="67" applyNumberFormat="1" applyFont="1" applyFill="1" applyBorder="1" applyAlignment="1">
      <alignment horizontal="center" vertical="center"/>
    </xf>
    <xf numFmtId="183" fontId="58" fillId="34" borderId="21" xfId="67" applyNumberFormat="1" applyFont="1" applyFill="1" applyBorder="1" applyAlignment="1">
      <alignment horizontal="center" vertical="center"/>
    </xf>
    <xf numFmtId="41" fontId="58" fillId="34" borderId="27" xfId="67" applyFont="1" applyFill="1" applyBorder="1" applyAlignment="1">
      <alignment horizontal="center" vertical="center"/>
    </xf>
    <xf numFmtId="37" fontId="16" fillId="0" borderId="0" xfId="0" applyNumberFormat="1" applyFont="1" applyFill="1" applyBorder="1" applyAlignment="1">
      <alignment horizontal="center" vertical="center"/>
    </xf>
    <xf numFmtId="37" fontId="64" fillId="0" borderId="4" xfId="0" applyNumberFormat="1" applyFont="1" applyFill="1" applyBorder="1" applyAlignment="1">
      <alignment horizontal="left" vertical="center"/>
    </xf>
    <xf numFmtId="0" fontId="57" fillId="35" borderId="11" xfId="0" applyFont="1" applyFill="1" applyBorder="1" applyAlignment="1">
      <alignment horizontal="center" vertical="center"/>
    </xf>
    <xf numFmtId="0" fontId="57" fillId="35" borderId="13" xfId="0" applyFont="1" applyFill="1" applyBorder="1" applyAlignment="1">
      <alignment horizontal="center" vertical="center"/>
    </xf>
    <xf numFmtId="0" fontId="57" fillId="35" borderId="12" xfId="0" applyFont="1" applyFill="1" applyBorder="1" applyAlignment="1">
      <alignment horizontal="left" vertical="center"/>
    </xf>
    <xf numFmtId="0" fontId="57" fillId="35" borderId="3" xfId="0" applyFont="1" applyFill="1" applyBorder="1" applyAlignment="1">
      <alignment horizontal="left" vertical="center"/>
    </xf>
    <xf numFmtId="0" fontId="57" fillId="35" borderId="15" xfId="0" applyFont="1" applyFill="1" applyBorder="1" applyAlignment="1">
      <alignment horizontal="left" vertical="center"/>
    </xf>
    <xf numFmtId="37" fontId="57" fillId="35" borderId="11" xfId="0" applyNumberFormat="1" applyFont="1" applyFill="1" applyBorder="1" applyAlignment="1">
      <alignment horizontal="center" vertical="center"/>
    </xf>
    <xf numFmtId="37" fontId="57" fillId="35" borderId="13" xfId="0" applyNumberFormat="1" applyFont="1" applyFill="1" applyBorder="1" applyAlignment="1">
      <alignment horizontal="center" vertical="center"/>
    </xf>
    <xf numFmtId="37" fontId="73" fillId="0" borderId="76" xfId="0" applyNumberFormat="1" applyFont="1" applyFill="1" applyBorder="1" applyAlignment="1">
      <alignment horizontal="center" vertical="center"/>
    </xf>
    <xf numFmtId="37" fontId="73" fillId="0" borderId="77" xfId="0" applyNumberFormat="1" applyFont="1" applyFill="1" applyBorder="1" applyAlignment="1">
      <alignment horizontal="center" vertical="center"/>
    </xf>
    <xf numFmtId="37" fontId="73" fillId="0" borderId="78" xfId="0" applyNumberFormat="1" applyFont="1" applyFill="1" applyBorder="1" applyAlignment="1">
      <alignment horizontal="center" vertical="center"/>
    </xf>
    <xf numFmtId="49" fontId="57" fillId="34" borderId="60" xfId="0" applyNumberFormat="1" applyFont="1" applyFill="1" applyBorder="1" applyAlignment="1">
      <alignment horizontal="center" vertical="center"/>
    </xf>
    <xf numFmtId="0" fontId="57" fillId="34" borderId="61" xfId="0" applyFont="1" applyFill="1" applyBorder="1" applyAlignment="1">
      <alignment vertical="center"/>
    </xf>
    <xf numFmtId="37" fontId="57" fillId="34" borderId="29" xfId="0" applyNumberFormat="1" applyFont="1" applyFill="1" applyBorder="1" applyAlignment="1">
      <alignment horizontal="center" vertical="center"/>
    </xf>
    <xf numFmtId="0" fontId="57" fillId="34" borderId="14" xfId="0" applyFont="1" applyFill="1" applyBorder="1" applyAlignment="1">
      <alignment vertical="center"/>
    </xf>
    <xf numFmtId="0" fontId="57" fillId="34" borderId="62" xfId="0" applyFont="1" applyFill="1" applyBorder="1" applyAlignment="1">
      <alignment horizontal="center" vertical="center"/>
    </xf>
    <xf numFmtId="0" fontId="57" fillId="34" borderId="63" xfId="0" applyFont="1" applyFill="1" applyBorder="1" applyAlignment="1">
      <alignment vertical="center"/>
    </xf>
    <xf numFmtId="0" fontId="57" fillId="34" borderId="29" xfId="0" applyFont="1" applyFill="1" applyBorder="1" applyAlignment="1">
      <alignment horizontal="center" vertical="center"/>
    </xf>
    <xf numFmtId="0" fontId="57" fillId="34" borderId="47" xfId="0" applyFont="1" applyFill="1" applyBorder="1" applyAlignment="1">
      <alignment horizontal="center" vertical="center"/>
    </xf>
    <xf numFmtId="0" fontId="57" fillId="34" borderId="48" xfId="0" applyFont="1" applyFill="1" applyBorder="1" applyAlignment="1">
      <alignment horizontal="center" vertical="center"/>
    </xf>
    <xf numFmtId="37" fontId="57" fillId="34" borderId="12" xfId="0" applyNumberFormat="1" applyFont="1" applyFill="1" applyBorder="1" applyAlignment="1">
      <alignment horizontal="center" vertical="center"/>
    </xf>
    <xf numFmtId="37" fontId="57" fillId="34" borderId="13" xfId="0" applyNumberFormat="1" applyFont="1" applyFill="1" applyBorder="1" applyAlignment="1">
      <alignment horizontal="center" vertical="center"/>
    </xf>
    <xf numFmtId="0" fontId="57" fillId="34" borderId="14" xfId="0" applyFont="1" applyFill="1" applyBorder="1" applyAlignment="1">
      <alignment horizontal="center" vertical="center"/>
    </xf>
    <xf numFmtId="0" fontId="58" fillId="36" borderId="12" xfId="0" applyFont="1" applyFill="1" applyBorder="1" applyAlignment="1">
      <alignment horizontal="center" vertical="center"/>
    </xf>
    <xf numFmtId="0" fontId="58" fillId="36" borderId="3" xfId="0" applyFont="1" applyFill="1" applyBorder="1" applyAlignment="1">
      <alignment horizontal="center" vertical="center"/>
    </xf>
    <xf numFmtId="0" fontId="58" fillId="36" borderId="13" xfId="0" applyFont="1" applyFill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9" fillId="0" borderId="12" xfId="0" applyFont="1" applyBorder="1" applyAlignment="1">
      <alignment horizontal="center" vertical="center"/>
    </xf>
    <xf numFmtId="177" fontId="65" fillId="34" borderId="51" xfId="0" applyNumberFormat="1" applyFont="1" applyFill="1" applyBorder="1" applyAlignment="1">
      <alignment horizontal="left" vertical="center"/>
    </xf>
    <xf numFmtId="177" fontId="65" fillId="34" borderId="53" xfId="0" applyNumberFormat="1" applyFont="1" applyFill="1" applyBorder="1" applyAlignment="1">
      <alignment horizontal="left" vertical="center"/>
    </xf>
    <xf numFmtId="0" fontId="55" fillId="0" borderId="54" xfId="95" quotePrefix="1" applyFont="1" applyBorder="1" applyAlignment="1">
      <alignment horizontal="center" vertical="center"/>
    </xf>
    <xf numFmtId="185" fontId="26" fillId="39" borderId="12" xfId="73" applyNumberFormat="1" applyFont="1" applyFill="1" applyBorder="1" applyAlignment="1">
      <alignment horizontal="center" vertical="center"/>
    </xf>
    <xf numFmtId="185" fontId="26" fillId="39" borderId="3" xfId="73" applyNumberFormat="1" applyFont="1" applyFill="1" applyBorder="1" applyAlignment="1">
      <alignment horizontal="center" vertical="center"/>
    </xf>
    <xf numFmtId="41" fontId="26" fillId="39" borderId="1" xfId="73" applyFont="1" applyFill="1" applyBorder="1" applyAlignment="1">
      <alignment horizontal="center" vertical="center"/>
    </xf>
    <xf numFmtId="49" fontId="78" fillId="0" borderId="29" xfId="0" applyNumberFormat="1" applyFont="1" applyBorder="1" applyAlignment="1">
      <alignment horizontal="center" vertical="center"/>
    </xf>
    <xf numFmtId="49" fontId="78" fillId="0" borderId="14" xfId="0" applyNumberFormat="1" applyFont="1" applyBorder="1" applyAlignment="1">
      <alignment horizontal="center" vertical="center"/>
    </xf>
    <xf numFmtId="0" fontId="78" fillId="0" borderId="29" xfId="0" applyNumberFormat="1" applyFont="1" applyBorder="1" applyAlignment="1">
      <alignment horizontal="center" vertical="center"/>
    </xf>
    <xf numFmtId="0" fontId="78" fillId="0" borderId="14" xfId="0" applyNumberFormat="1" applyFont="1" applyBorder="1" applyAlignment="1">
      <alignment horizontal="center" vertical="center"/>
    </xf>
    <xf numFmtId="41" fontId="78" fillId="0" borderId="29" xfId="67" applyFont="1" applyBorder="1" applyAlignment="1">
      <alignment horizontal="right" vertical="center"/>
    </xf>
    <xf numFmtId="41" fontId="78" fillId="0" borderId="14" xfId="67" applyFont="1" applyBorder="1" applyAlignment="1">
      <alignment horizontal="right" vertical="center"/>
    </xf>
    <xf numFmtId="177" fontId="78" fillId="0" borderId="12" xfId="0" applyNumberFormat="1" applyFont="1" applyBorder="1" applyAlignment="1">
      <alignment horizontal="center" vertical="center"/>
    </xf>
    <xf numFmtId="177" fontId="78" fillId="0" borderId="13" xfId="0" applyNumberFormat="1" applyFont="1" applyBorder="1" applyAlignment="1">
      <alignment horizontal="center" vertical="center"/>
    </xf>
    <xf numFmtId="37" fontId="22" fillId="0" borderId="16" xfId="0" applyNumberFormat="1" applyFont="1" applyBorder="1" applyAlignment="1">
      <alignment horizontal="center" vertical="center"/>
    </xf>
    <xf numFmtId="0" fontId="24" fillId="39" borderId="1" xfId="0" applyFont="1" applyFill="1" applyBorder="1" applyAlignment="1">
      <alignment horizontal="center" vertical="center"/>
    </xf>
    <xf numFmtId="186" fontId="24" fillId="39" borderId="1" xfId="73" applyNumberFormat="1" applyFont="1" applyFill="1" applyBorder="1" applyAlignment="1">
      <alignment horizontal="center" vertical="center"/>
    </xf>
    <xf numFmtId="185" fontId="24" fillId="39" borderId="1" xfId="73" applyNumberFormat="1" applyFont="1" applyFill="1" applyBorder="1" applyAlignment="1">
      <alignment horizontal="center" vertical="center"/>
    </xf>
    <xf numFmtId="49" fontId="24" fillId="39" borderId="1" xfId="73" applyNumberFormat="1" applyFont="1" applyFill="1" applyBorder="1" applyAlignment="1">
      <alignment horizontal="center" vertical="center" wrapText="1"/>
    </xf>
    <xf numFmtId="49" fontId="24" fillId="39" borderId="1" xfId="73" applyNumberFormat="1" applyFont="1" applyFill="1" applyBorder="1" applyAlignment="1">
      <alignment horizontal="center" vertical="center"/>
    </xf>
    <xf numFmtId="0" fontId="36" fillId="0" borderId="16" xfId="0" applyFont="1" applyBorder="1" applyAlignment="1">
      <alignment horizontal="center" vertical="center" wrapText="1"/>
    </xf>
    <xf numFmtId="0" fontId="36" fillId="0" borderId="16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1" fontId="59" fillId="39" borderId="12" xfId="0" applyNumberFormat="1" applyFont="1" applyFill="1" applyBorder="1" applyAlignment="1">
      <alignment horizontal="center" vertical="center" shrinkToFit="1"/>
    </xf>
    <xf numFmtId="1" fontId="59" fillId="39" borderId="13" xfId="0" applyNumberFormat="1" applyFont="1" applyFill="1" applyBorder="1" applyAlignment="1">
      <alignment horizontal="center" vertical="center" shrinkToFit="1"/>
    </xf>
  </cellXfs>
  <cellStyles count="135">
    <cellStyle name="10000" xfId="1"/>
    <cellStyle name="20% - 강조색1 2" xfId="2"/>
    <cellStyle name="20% - 강조색2 2" xfId="3"/>
    <cellStyle name="20% - 강조색3 2" xfId="4"/>
    <cellStyle name="20% - 강조색4 2" xfId="5"/>
    <cellStyle name="20% - 강조색5 2" xfId="6"/>
    <cellStyle name="20% - 강조색6 2" xfId="7"/>
    <cellStyle name="40% - 강조색1 2" xfId="8"/>
    <cellStyle name="40% - 강조색2 2" xfId="9"/>
    <cellStyle name="40% - 강조색3 2" xfId="10"/>
    <cellStyle name="40% - 강조색4 2" xfId="11"/>
    <cellStyle name="40% - 강조색5 2" xfId="12"/>
    <cellStyle name="40% - 강조색6 2" xfId="13"/>
    <cellStyle name="60% - 강조색1 2" xfId="14"/>
    <cellStyle name="60% - 강조색2 2" xfId="15"/>
    <cellStyle name="60% - 강조색3 2" xfId="16"/>
    <cellStyle name="60% - 강조색4 2" xfId="17"/>
    <cellStyle name="60% - 강조색5 2" xfId="18"/>
    <cellStyle name="60% - 강조색6 2" xfId="19"/>
    <cellStyle name="Calc Currency (0)" xfId="20"/>
    <cellStyle name="category" xfId="21"/>
    <cellStyle name="Comma [0]_ SG&amp;A Bridge " xfId="22"/>
    <cellStyle name="comma zerodec" xfId="23"/>
    <cellStyle name="Comma_ SG&amp;A Bridge " xfId="24"/>
    <cellStyle name="Currency [0]_ SG&amp;A Bridge " xfId="25"/>
    <cellStyle name="Currency_ SG&amp;A Bridge " xfId="26"/>
    <cellStyle name="Currency1" xfId="27"/>
    <cellStyle name="Dollar (zero dec)" xfId="28"/>
    <cellStyle name="F2" xfId="29"/>
    <cellStyle name="F3" xfId="30"/>
    <cellStyle name="F4" xfId="31"/>
    <cellStyle name="F5" xfId="32"/>
    <cellStyle name="F6" xfId="33"/>
    <cellStyle name="F7" xfId="34"/>
    <cellStyle name="F8" xfId="35"/>
    <cellStyle name="Grey" xfId="36"/>
    <cellStyle name="HEADER" xfId="37"/>
    <cellStyle name="Header1" xfId="38"/>
    <cellStyle name="Header2" xfId="39"/>
    <cellStyle name="Input [yellow]" xfId="40"/>
    <cellStyle name="Model" xfId="41"/>
    <cellStyle name="Normal - Style1" xfId="42"/>
    <cellStyle name="Normal_ SG&amp;A Bridge " xfId="43"/>
    <cellStyle name="Percent [2]" xfId="44"/>
    <cellStyle name="subhead" xfId="45"/>
    <cellStyle name="강조색1 2" xfId="46"/>
    <cellStyle name="강조색2 2" xfId="47"/>
    <cellStyle name="강조색3 2" xfId="48"/>
    <cellStyle name="강조색4 2" xfId="49"/>
    <cellStyle name="강조색5 2" xfId="50"/>
    <cellStyle name="강조색6 2" xfId="51"/>
    <cellStyle name="경고문 2" xfId="52"/>
    <cellStyle name="계산 2" xfId="53"/>
    <cellStyle name="고정소숫점" xfId="54"/>
    <cellStyle name="고정출력1" xfId="55"/>
    <cellStyle name="고정출력2" xfId="56"/>
    <cellStyle name="나쁨 2" xfId="57"/>
    <cellStyle name="날짜" xfId="58"/>
    <cellStyle name="달러" xfId="59"/>
    <cellStyle name="메모 2" xfId="60"/>
    <cellStyle name="백분율" xfId="130" builtinId="5"/>
    <cellStyle name="백분율 2 2 13" xfId="61"/>
    <cellStyle name="백분율 2 2 2" xfId="133"/>
    <cellStyle name="보통 2" xfId="62"/>
    <cellStyle name="뷭?_BOOKSHIP" xfId="63"/>
    <cellStyle name="설명 텍스트 2" xfId="64"/>
    <cellStyle name="셀 확인 2" xfId="65"/>
    <cellStyle name="숫자(R)" xfId="66"/>
    <cellStyle name="쉼표 [0]" xfId="67" builtinId="6"/>
    <cellStyle name="쉼표 [0] 13" xfId="68"/>
    <cellStyle name="쉼표 [0] 14" xfId="69"/>
    <cellStyle name="쉼표 [0] 2" xfId="70"/>
    <cellStyle name="쉼표 [0] 2 2 2 2 10" xfId="132"/>
    <cellStyle name="쉼표 [0] 2 2 7 2" xfId="71"/>
    <cellStyle name="쉼표 [0] 3" xfId="72"/>
    <cellStyle name="쉼표 [0] 4" xfId="73"/>
    <cellStyle name="쉼표 [0] 5" xfId="74"/>
    <cellStyle name="쉼표 [0] 6" xfId="75"/>
    <cellStyle name="안건회계법인" xfId="76"/>
    <cellStyle name="연결된 셀 2" xfId="77"/>
    <cellStyle name="요약 2" xfId="78"/>
    <cellStyle name="일위대가" xfId="79"/>
    <cellStyle name="입력 2" xfId="80"/>
    <cellStyle name="자리수" xfId="81"/>
    <cellStyle name="자리수0" xfId="82"/>
    <cellStyle name="제목 1 2" xfId="83"/>
    <cellStyle name="제목 2 2" xfId="84"/>
    <cellStyle name="제목 3 2" xfId="85"/>
    <cellStyle name="제목 4 2" xfId="86"/>
    <cellStyle name="제목 5" xfId="87"/>
    <cellStyle name="좋음 2" xfId="88"/>
    <cellStyle name="출력 2" xfId="89"/>
    <cellStyle name="콤마 [0]_#2변전실 CCTV제작구매 설치" xfId="90"/>
    <cellStyle name="콤마_#2변전실 CCTV제작구매 설치" xfId="91"/>
    <cellStyle name="턂화 [0]_투자재원" xfId="92"/>
    <cellStyle name="퍼센트" xfId="93"/>
    <cellStyle name="표준" xfId="0" builtinId="0"/>
    <cellStyle name="표준 11" xfId="94"/>
    <cellStyle name="표준 16" xfId="95"/>
    <cellStyle name="표준 171" xfId="96"/>
    <cellStyle name="표준 198" xfId="97"/>
    <cellStyle name="표준 2" xfId="98"/>
    <cellStyle name="표준 2 2" xfId="99"/>
    <cellStyle name="표준 2 2 2" xfId="128"/>
    <cellStyle name="표준 2 3" xfId="100"/>
    <cellStyle name="표준 2 5 2 2" xfId="131"/>
    <cellStyle name="표준 219" xfId="101"/>
    <cellStyle name="표준 229" xfId="102"/>
    <cellStyle name="표준 231" xfId="103"/>
    <cellStyle name="표준 241" xfId="104"/>
    <cellStyle name="표준 247" xfId="105"/>
    <cellStyle name="표준 249" xfId="106"/>
    <cellStyle name="표준 251" xfId="107"/>
    <cellStyle name="표준 253" xfId="108"/>
    <cellStyle name="표준 254" xfId="109"/>
    <cellStyle name="표준 3" xfId="110"/>
    <cellStyle name="표준 3 4 2 14" xfId="111"/>
    <cellStyle name="표준 336" xfId="112"/>
    <cellStyle name="표준 4" xfId="113"/>
    <cellStyle name="표준 4 3" xfId="114"/>
    <cellStyle name="표준 4 5 2" xfId="127"/>
    <cellStyle name="표준 414" xfId="115"/>
    <cellStyle name="표준 418" xfId="116"/>
    <cellStyle name="표준 419" xfId="117"/>
    <cellStyle name="표준 5" xfId="118"/>
    <cellStyle name="표준 6" xfId="119"/>
    <cellStyle name="표준 7" xfId="129"/>
    <cellStyle name="표준 8" xfId="120"/>
    <cellStyle name="표준_기계예산서및수량산출서(100618)" xfId="121"/>
    <cellStyle name="표준_변경표지" xfId="122"/>
    <cellStyle name="표준_서울시청 현판 제작 설치" xfId="134"/>
    <cellStyle name="표준_종각쇼핑센타원가(기계+건축)" xfId="123"/>
    <cellStyle name="합산" xfId="124"/>
    <cellStyle name="화폐기호" xfId="125"/>
    <cellStyle name="화폐기호0" xfId="126"/>
  </cellStyles>
  <dxfs count="0"/>
  <tableStyles count="0" defaultTableStyle="TableStyleMedium9" defaultPivotStyle="PivotStyleLight16"/>
  <colors>
    <mruColors>
      <color rgb="FFFFFFCC"/>
      <color rgb="FFCCECFF"/>
      <color rgb="FF99CCFF"/>
      <color rgb="FF66CCFF"/>
      <color rgb="FF66FF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8</xdr:row>
      <xdr:rowOff>152400</xdr:rowOff>
    </xdr:from>
    <xdr:to>
      <xdr:col>9</xdr:col>
      <xdr:colOff>114300</xdr:colOff>
      <xdr:row>18</xdr:row>
      <xdr:rowOff>238496</xdr:rowOff>
    </xdr:to>
    <xdr:grpSp>
      <xdr:nvGrpSpPr>
        <xdr:cNvPr id="4" name="그룹 3"/>
        <xdr:cNvGrpSpPr/>
      </xdr:nvGrpSpPr>
      <xdr:grpSpPr>
        <a:xfrm>
          <a:off x="9705975" y="2819400"/>
          <a:ext cx="4914900" cy="2657846"/>
          <a:chOff x="10248900" y="2657475"/>
          <a:chExt cx="4914900" cy="2657846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0248900" y="2657475"/>
            <a:ext cx="4867954" cy="2657846"/>
          </a:xfrm>
          <a:prstGeom prst="rect">
            <a:avLst/>
          </a:prstGeom>
        </xdr:spPr>
      </xdr:pic>
      <xdr:sp macro="" textlink="">
        <xdr:nvSpPr>
          <xdr:cNvPr id="3" name="직사각형 2"/>
          <xdr:cNvSpPr/>
        </xdr:nvSpPr>
        <xdr:spPr bwMode="auto">
          <a:xfrm>
            <a:off x="10572750" y="3457575"/>
            <a:ext cx="4591050" cy="457200"/>
          </a:xfrm>
          <a:prstGeom prst="rect">
            <a:avLst/>
          </a:prstGeom>
          <a:noFill/>
          <a:ln w="2857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49457;&#50864;\&#50504;&#50577;&#49884;\&#47928;&#50976;&#49457;\2001&#45800;&#44032;&#44228;&#50557;(&#44148;&#49444;&#44277;&#49324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824;&#51652;&#44148;&#49444;\&#49688;&#50896;&#49884;\My%20Documents\2001&#45380;&#44036;&#45800;&#44032;\2001&#45800;&#44032;&#44228;&#50557;(&#44148;&#49444;&#44277;&#49324;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단가 및 재료비"/>
      <sheetName val="중기사용료"/>
      <sheetName val="중기사용료산출근거"/>
      <sheetName val="Sheet1"/>
      <sheetName val="단가산출1"/>
      <sheetName val="단가산출2"/>
      <sheetName val="일위대가"/>
      <sheetName val="일위대가data"/>
      <sheetName val="이름표"/>
      <sheetName val="일위대가 (2)"/>
    </sheetNames>
    <sheetDataSet>
      <sheetData sheetId="0">
        <row r="72">
          <cell r="AA72">
            <v>56840</v>
          </cell>
        </row>
        <row r="170">
          <cell r="S170">
            <v>5856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단가 및 재료비"/>
      <sheetName val="중기사용료"/>
      <sheetName val="중기사용료산출근거"/>
      <sheetName val="Sheet1"/>
      <sheetName val="단가산출1"/>
      <sheetName val="단가산출2"/>
      <sheetName val="일위대가"/>
      <sheetName val="일위대가data"/>
      <sheetName val="이름표"/>
      <sheetName val="일위대가 (2)"/>
      <sheetName val="표지 (2)"/>
      <sheetName val="2001단가계약(건설공사)"/>
      <sheetName val="b_balju_cho"/>
      <sheetName val="데이타"/>
      <sheetName val="식재인부"/>
      <sheetName val="일위대가(가설)"/>
      <sheetName val="단가"/>
      <sheetName val="시설물일위"/>
      <sheetName val="매인"/>
      <sheetName val="터널조도"/>
      <sheetName val="부하계산서"/>
      <sheetName val="수량산출"/>
    </sheetNames>
    <sheetDataSet>
      <sheetData sheetId="0" refreshError="1">
        <row r="34">
          <cell r="U34">
            <v>276.44</v>
          </cell>
        </row>
        <row r="39">
          <cell r="U39">
            <v>204000</v>
          </cell>
        </row>
        <row r="51">
          <cell r="AA51">
            <v>63210</v>
          </cell>
        </row>
        <row r="72">
          <cell r="AA72">
            <v>56840</v>
          </cell>
        </row>
        <row r="90">
          <cell r="AA90">
            <v>51490</v>
          </cell>
        </row>
        <row r="91">
          <cell r="AA91">
            <v>37050</v>
          </cell>
        </row>
        <row r="143">
          <cell r="S143">
            <v>900</v>
          </cell>
        </row>
        <row r="144">
          <cell r="S144">
            <v>1372</v>
          </cell>
        </row>
        <row r="145">
          <cell r="S145">
            <v>499.6</v>
          </cell>
        </row>
        <row r="170">
          <cell r="S170">
            <v>5856</v>
          </cell>
        </row>
        <row r="171">
          <cell r="S171">
            <v>264705</v>
          </cell>
        </row>
        <row r="172">
          <cell r="S172">
            <v>450</v>
          </cell>
        </row>
        <row r="173">
          <cell r="S173">
            <v>668</v>
          </cell>
        </row>
        <row r="215">
          <cell r="S215">
            <v>1370</v>
          </cell>
        </row>
      </sheetData>
      <sheetData sheetId="1"/>
      <sheetData sheetId="2" refreshError="1">
        <row r="20">
          <cell r="G20">
            <v>4631</v>
          </cell>
        </row>
        <row r="24">
          <cell r="G24">
            <v>0</v>
          </cell>
        </row>
        <row r="28">
          <cell r="G28">
            <v>0</v>
          </cell>
        </row>
        <row r="95">
          <cell r="G95">
            <v>4659</v>
          </cell>
        </row>
        <row r="99">
          <cell r="G99">
            <v>9868</v>
          </cell>
        </row>
        <row r="103">
          <cell r="G103">
            <v>11928</v>
          </cell>
        </row>
        <row r="155">
          <cell r="G155">
            <v>3763</v>
          </cell>
        </row>
        <row r="159">
          <cell r="G159">
            <v>11060</v>
          </cell>
        </row>
        <row r="163">
          <cell r="G163">
            <v>6759</v>
          </cell>
        </row>
        <row r="215">
          <cell r="G215">
            <v>10938</v>
          </cell>
        </row>
        <row r="219">
          <cell r="G219">
            <v>19113</v>
          </cell>
        </row>
        <row r="223">
          <cell r="G223">
            <v>5605</v>
          </cell>
        </row>
        <row r="245">
          <cell r="G245">
            <v>1228</v>
          </cell>
        </row>
        <row r="249">
          <cell r="G249">
            <v>9868</v>
          </cell>
        </row>
        <row r="253">
          <cell r="G253">
            <v>7035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회색조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16"/>
  <sheetViews>
    <sheetView view="pageBreakPreview" zoomScaleNormal="100" zoomScaleSheetLayoutView="100" workbookViewId="0">
      <selection activeCell="E15" sqref="E15"/>
    </sheetView>
  </sheetViews>
  <sheetFormatPr defaultRowHeight="13.5"/>
  <cols>
    <col min="1" max="1" width="5.33203125" customWidth="1"/>
    <col min="2" max="7" width="11.77734375" customWidth="1"/>
    <col min="8" max="8" width="9.77734375" customWidth="1"/>
    <col min="9" max="9" width="11.109375" customWidth="1"/>
    <col min="10" max="10" width="5.44140625" customWidth="1"/>
    <col min="11" max="11" width="14.6640625" customWidth="1"/>
    <col min="13" max="13" width="12.6640625" bestFit="1" customWidth="1"/>
  </cols>
  <sheetData>
    <row r="1" spans="1:13" ht="24.75" customHeight="1">
      <c r="A1" s="300" t="s">
        <v>44</v>
      </c>
      <c r="B1" s="300"/>
      <c r="C1" s="300" t="s">
        <v>168</v>
      </c>
      <c r="D1" s="300" t="s">
        <v>46</v>
      </c>
      <c r="E1" s="300" t="s">
        <v>398</v>
      </c>
      <c r="F1" s="300" t="s">
        <v>47</v>
      </c>
      <c r="G1" s="300" t="s">
        <v>399</v>
      </c>
      <c r="H1" s="215" t="s">
        <v>48</v>
      </c>
      <c r="I1" s="215" t="s">
        <v>400</v>
      </c>
      <c r="J1" s="330" t="s">
        <v>51</v>
      </c>
      <c r="K1" s="330"/>
    </row>
    <row r="2" spans="1:13" ht="24.75" customHeight="1">
      <c r="A2" s="300"/>
      <c r="B2" s="300"/>
      <c r="C2" s="300"/>
      <c r="D2" s="300"/>
      <c r="E2" s="300"/>
      <c r="F2" s="300"/>
      <c r="G2" s="300"/>
      <c r="H2" s="216" t="s">
        <v>49</v>
      </c>
      <c r="I2" s="216"/>
      <c r="J2" s="331"/>
      <c r="K2" s="331"/>
    </row>
    <row r="3" spans="1:13" ht="20.25" customHeight="1">
      <c r="B3" s="75"/>
      <c r="C3" s="75"/>
      <c r="D3" s="75"/>
      <c r="E3" s="75"/>
      <c r="F3" s="75"/>
      <c r="G3" s="75"/>
      <c r="H3" s="76"/>
      <c r="I3" s="76"/>
      <c r="J3" s="76"/>
      <c r="K3" s="76"/>
    </row>
    <row r="4" spans="1:13" ht="51" customHeight="1">
      <c r="A4" s="316" t="s">
        <v>58</v>
      </c>
      <c r="B4" s="316"/>
      <c r="C4" s="316"/>
      <c r="D4" s="316"/>
      <c r="E4" s="316"/>
      <c r="F4" s="316"/>
      <c r="G4" s="316"/>
      <c r="H4" s="316"/>
      <c r="I4" s="316"/>
      <c r="J4" s="316"/>
      <c r="K4" s="316"/>
    </row>
    <row r="5" spans="1:13" ht="15" customHeight="1">
      <c r="B5" s="68"/>
      <c r="C5" s="68"/>
      <c r="D5" s="68"/>
      <c r="E5" s="69"/>
      <c r="F5" s="69"/>
      <c r="G5" s="69"/>
      <c r="H5" s="69"/>
      <c r="I5" s="69"/>
      <c r="J5" s="69"/>
      <c r="K5" s="68"/>
    </row>
    <row r="6" spans="1:13" ht="30" customHeight="1">
      <c r="A6" s="78" t="s">
        <v>396</v>
      </c>
      <c r="B6" s="70"/>
      <c r="C6" s="68"/>
      <c r="D6" s="68"/>
      <c r="E6" s="69"/>
      <c r="F6" s="69"/>
      <c r="G6" s="69"/>
      <c r="H6" s="69"/>
      <c r="I6" s="69"/>
      <c r="J6" s="69"/>
      <c r="K6" s="77" t="s">
        <v>50</v>
      </c>
    </row>
    <row r="7" spans="1:13" ht="23.25" customHeight="1">
      <c r="A7" s="301" t="s">
        <v>55</v>
      </c>
      <c r="B7" s="302"/>
      <c r="C7" s="301" t="s">
        <v>57</v>
      </c>
      <c r="D7" s="335"/>
      <c r="E7" s="335"/>
      <c r="F7" s="335"/>
      <c r="G7" s="335"/>
      <c r="H7" s="335"/>
      <c r="I7" s="302"/>
      <c r="J7" s="301" t="s">
        <v>42</v>
      </c>
      <c r="K7" s="302"/>
    </row>
    <row r="8" spans="1:13" ht="23.25" customHeight="1">
      <c r="A8" s="303"/>
      <c r="B8" s="304"/>
      <c r="C8" s="303"/>
      <c r="D8" s="336"/>
      <c r="E8" s="336"/>
      <c r="F8" s="336"/>
      <c r="G8" s="336"/>
      <c r="H8" s="336"/>
      <c r="I8" s="304"/>
      <c r="J8" s="303"/>
      <c r="K8" s="304"/>
    </row>
    <row r="9" spans="1:13" ht="42" customHeight="1">
      <c r="A9" s="305" t="s">
        <v>54</v>
      </c>
      <c r="B9" s="306"/>
      <c r="C9" s="307" t="s">
        <v>430</v>
      </c>
      <c r="D9" s="308"/>
      <c r="E9" s="308"/>
      <c r="F9" s="309"/>
      <c r="G9" s="317"/>
      <c r="H9" s="318"/>
      <c r="I9" s="319"/>
      <c r="J9" s="305"/>
      <c r="K9" s="306"/>
    </row>
    <row r="10" spans="1:13" ht="42" customHeight="1">
      <c r="A10" s="313" t="s">
        <v>56</v>
      </c>
      <c r="B10" s="79" t="s">
        <v>52</v>
      </c>
      <c r="C10" s="310" t="s">
        <v>431</v>
      </c>
      <c r="D10" s="311"/>
      <c r="E10" s="311"/>
      <c r="F10" s="312"/>
      <c r="G10" s="320"/>
      <c r="H10" s="321"/>
      <c r="I10" s="322"/>
      <c r="J10" s="326"/>
      <c r="K10" s="327"/>
    </row>
    <row r="11" spans="1:13" ht="42" customHeight="1">
      <c r="A11" s="314"/>
      <c r="B11" s="79" t="s">
        <v>53</v>
      </c>
      <c r="C11" s="310" t="s">
        <v>432</v>
      </c>
      <c r="D11" s="311"/>
      <c r="E11" s="311"/>
      <c r="F11" s="312"/>
      <c r="G11" s="320"/>
      <c r="H11" s="321"/>
      <c r="I11" s="322"/>
      <c r="J11" s="326"/>
      <c r="K11" s="327"/>
    </row>
    <row r="12" spans="1:13" ht="42" customHeight="1">
      <c r="A12" s="314"/>
      <c r="B12" s="121" t="s">
        <v>125</v>
      </c>
      <c r="C12" s="310" t="s">
        <v>433</v>
      </c>
      <c r="D12" s="311"/>
      <c r="E12" s="311"/>
      <c r="F12" s="312"/>
      <c r="G12" s="320"/>
      <c r="H12" s="321"/>
      <c r="I12" s="322"/>
      <c r="J12" s="122"/>
      <c r="K12" s="123"/>
      <c r="M12" s="84"/>
    </row>
    <row r="13" spans="1:13" ht="42" customHeight="1">
      <c r="A13" s="315"/>
      <c r="B13" s="80" t="s">
        <v>3</v>
      </c>
      <c r="C13" s="323" t="s">
        <v>430</v>
      </c>
      <c r="D13" s="324"/>
      <c r="E13" s="324"/>
      <c r="F13" s="325"/>
      <c r="G13" s="332"/>
      <c r="H13" s="333"/>
      <c r="I13" s="334"/>
      <c r="J13" s="328"/>
      <c r="K13" s="329"/>
    </row>
    <row r="14" spans="1:13" ht="16.5" customHeight="1">
      <c r="B14" s="64"/>
      <c r="C14" s="64"/>
      <c r="D14" s="64"/>
      <c r="E14" s="65"/>
      <c r="F14" s="65"/>
      <c r="G14" s="65"/>
      <c r="H14" s="65"/>
      <c r="I14" s="65"/>
      <c r="J14" s="66"/>
      <c r="K14" s="67"/>
    </row>
    <row r="15" spans="1:13" ht="27.75" customHeight="1">
      <c r="A15" s="152" t="s">
        <v>397</v>
      </c>
      <c r="B15" s="74"/>
      <c r="C15" s="62"/>
      <c r="D15" s="62"/>
      <c r="E15" s="63"/>
      <c r="F15" s="63"/>
      <c r="G15" s="63"/>
      <c r="H15" s="63"/>
      <c r="I15" s="63"/>
      <c r="J15" s="63"/>
      <c r="K15" s="62"/>
    </row>
    <row r="16" spans="1:13" ht="18.75" customHeight="1"/>
  </sheetData>
  <mergeCells count="28">
    <mergeCell ref="G1:G2"/>
    <mergeCell ref="J10:K10"/>
    <mergeCell ref="J11:K11"/>
    <mergeCell ref="J13:K13"/>
    <mergeCell ref="J1:K1"/>
    <mergeCell ref="J2:K2"/>
    <mergeCell ref="J7:K8"/>
    <mergeCell ref="G11:I11"/>
    <mergeCell ref="G13:I13"/>
    <mergeCell ref="C7:I8"/>
    <mergeCell ref="G12:I12"/>
    <mergeCell ref="C11:F11"/>
    <mergeCell ref="A1:B2"/>
    <mergeCell ref="A7:B8"/>
    <mergeCell ref="A9:B9"/>
    <mergeCell ref="C9:F9"/>
    <mergeCell ref="C10:F10"/>
    <mergeCell ref="F1:F2"/>
    <mergeCell ref="C1:C2"/>
    <mergeCell ref="D1:D2"/>
    <mergeCell ref="E1:E2"/>
    <mergeCell ref="A10:A13"/>
    <mergeCell ref="A4:K4"/>
    <mergeCell ref="G9:I9"/>
    <mergeCell ref="G10:I10"/>
    <mergeCell ref="J9:K9"/>
    <mergeCell ref="C12:F12"/>
    <mergeCell ref="C13:F13"/>
  </mergeCells>
  <phoneticPr fontId="2" type="noConversion"/>
  <printOptions horizontalCentered="1"/>
  <pageMargins left="0.70866141732283472" right="0.70866141732283472" top="0.86614173228346458" bottom="0.74803149606299213" header="0.31496062992125984" footer="0.31496062992125984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3"/>
  <sheetViews>
    <sheetView view="pageBreakPreview" zoomScale="115" zoomScaleNormal="100" zoomScaleSheetLayoutView="115" workbookViewId="0">
      <selection activeCell="O7" sqref="O7"/>
    </sheetView>
  </sheetViews>
  <sheetFormatPr defaultRowHeight="13.5"/>
  <cols>
    <col min="1" max="1" width="21.44140625" style="179" customWidth="1"/>
    <col min="2" max="2" width="8.88671875" style="179"/>
    <col min="3" max="6" width="6.77734375" style="179" customWidth="1"/>
    <col min="7" max="7" width="13" style="179" customWidth="1"/>
    <col min="8" max="8" width="7.33203125" style="179" customWidth="1"/>
    <col min="9" max="9" width="13.44140625" style="179" customWidth="1"/>
    <col min="10" max="10" width="13.33203125" style="179" bestFit="1" customWidth="1"/>
    <col min="11" max="16384" width="8.88671875" style="179"/>
  </cols>
  <sheetData>
    <row r="1" spans="1:10">
      <c r="A1" s="278"/>
      <c r="B1" s="278"/>
      <c r="C1" s="278"/>
      <c r="D1" s="278"/>
      <c r="E1" s="278"/>
      <c r="F1" s="278"/>
      <c r="G1" s="278"/>
      <c r="H1" s="278"/>
      <c r="I1" s="278"/>
      <c r="J1" s="278"/>
    </row>
    <row r="2" spans="1:10">
      <c r="A2" s="278"/>
      <c r="B2" s="278"/>
      <c r="C2" s="278"/>
      <c r="D2" s="278"/>
      <c r="E2" s="278"/>
      <c r="F2" s="278"/>
      <c r="G2" s="278"/>
      <c r="H2" s="278"/>
      <c r="I2" s="279"/>
      <c r="J2" s="278"/>
    </row>
    <row r="3" spans="1:10" ht="41.25" customHeight="1">
      <c r="A3" s="337" t="s">
        <v>417</v>
      </c>
      <c r="B3" s="337"/>
      <c r="C3" s="337"/>
      <c r="D3" s="337"/>
      <c r="E3" s="337"/>
      <c r="F3" s="337"/>
      <c r="G3" s="337"/>
      <c r="H3" s="337"/>
      <c r="I3" s="337"/>
      <c r="J3" s="337"/>
    </row>
    <row r="4" spans="1:10">
      <c r="A4" s="278"/>
      <c r="B4" s="280"/>
      <c r="C4" s="278"/>
      <c r="D4" s="278"/>
      <c r="E4" s="278"/>
      <c r="F4" s="278"/>
      <c r="G4" s="278"/>
      <c r="H4" s="278"/>
      <c r="I4" s="278"/>
      <c r="J4" s="278"/>
    </row>
    <row r="5" spans="1:10" ht="32.25" customHeight="1">
      <c r="A5" s="281" t="s">
        <v>425</v>
      </c>
      <c r="B5" s="282"/>
      <c r="C5" s="282"/>
      <c r="D5" s="282"/>
      <c r="E5" s="282"/>
      <c r="F5" s="282"/>
      <c r="G5" s="283"/>
      <c r="H5" s="283"/>
      <c r="I5" s="283"/>
      <c r="J5" s="284"/>
    </row>
    <row r="6" spans="1:10" ht="21" thickBot="1">
      <c r="A6" s="338" t="s">
        <v>410</v>
      </c>
      <c r="B6" s="338"/>
      <c r="C6" s="338"/>
      <c r="D6" s="285"/>
      <c r="E6" s="278"/>
      <c r="F6" s="278"/>
      <c r="G6" s="278"/>
      <c r="H6" s="278"/>
      <c r="I6" s="278"/>
      <c r="J6" s="286" t="s">
        <v>418</v>
      </c>
    </row>
    <row r="7" spans="1:10" ht="25.5" customHeight="1">
      <c r="A7" s="339" t="s">
        <v>411</v>
      </c>
      <c r="B7" s="340"/>
      <c r="C7" s="343" t="s">
        <v>41</v>
      </c>
      <c r="D7" s="343" t="s">
        <v>419</v>
      </c>
      <c r="E7" s="343" t="s">
        <v>27</v>
      </c>
      <c r="F7" s="343" t="s">
        <v>412</v>
      </c>
      <c r="G7" s="343"/>
      <c r="H7" s="343" t="s">
        <v>413</v>
      </c>
      <c r="I7" s="343"/>
      <c r="J7" s="345" t="s">
        <v>414</v>
      </c>
    </row>
    <row r="8" spans="1:10" ht="25.5" customHeight="1" thickBot="1">
      <c r="A8" s="341"/>
      <c r="B8" s="342"/>
      <c r="C8" s="344"/>
      <c r="D8" s="344"/>
      <c r="E8" s="344"/>
      <c r="F8" s="287" t="s">
        <v>420</v>
      </c>
      <c r="G8" s="287" t="s">
        <v>421</v>
      </c>
      <c r="H8" s="287" t="s">
        <v>420</v>
      </c>
      <c r="I8" s="287" t="s">
        <v>415</v>
      </c>
      <c r="J8" s="346"/>
    </row>
    <row r="9" spans="1:10" ht="56.25" customHeight="1" thickTop="1">
      <c r="A9" s="353" t="s">
        <v>426</v>
      </c>
      <c r="B9" s="354"/>
      <c r="C9" s="355" t="s">
        <v>422</v>
      </c>
      <c r="D9" s="356"/>
      <c r="E9" s="357"/>
      <c r="F9" s="288"/>
      <c r="G9" s="289">
        <v>82361000</v>
      </c>
      <c r="H9" s="288"/>
      <c r="I9" s="289">
        <f>설치원가계산서!D26</f>
        <v>0</v>
      </c>
      <c r="J9" s="290">
        <f>I9-G9</f>
        <v>-82361000</v>
      </c>
    </row>
    <row r="10" spans="1:10" ht="33.75" customHeight="1">
      <c r="A10" s="358" t="s">
        <v>423</v>
      </c>
      <c r="B10" s="359"/>
      <c r="C10" s="351"/>
      <c r="D10" s="351"/>
      <c r="E10" s="351"/>
      <c r="F10" s="347"/>
      <c r="G10" s="349">
        <f>SUM(G9)</f>
        <v>82361000</v>
      </c>
      <c r="H10" s="351"/>
      <c r="I10" s="349">
        <f>SUM(I9)</f>
        <v>0</v>
      </c>
      <c r="J10" s="293">
        <f>I10-G10</f>
        <v>-82361000</v>
      </c>
    </row>
    <row r="11" spans="1:10" ht="33.75" customHeight="1" thickBot="1">
      <c r="A11" s="360"/>
      <c r="B11" s="361"/>
      <c r="C11" s="352"/>
      <c r="D11" s="352"/>
      <c r="E11" s="352"/>
      <c r="F11" s="348"/>
      <c r="G11" s="350"/>
      <c r="H11" s="352"/>
      <c r="I11" s="350"/>
      <c r="J11" s="294">
        <f>J10/G10</f>
        <v>-1</v>
      </c>
    </row>
    <row r="12" spans="1:10">
      <c r="A12" s="278"/>
      <c r="B12" s="278"/>
      <c r="C12" s="278"/>
      <c r="D12" s="278"/>
      <c r="E12" s="278"/>
      <c r="F12" s="278"/>
      <c r="G12" s="278"/>
      <c r="H12" s="278"/>
      <c r="I12" s="278"/>
      <c r="J12" s="278"/>
    </row>
    <row r="13" spans="1:10" ht="20.25">
      <c r="A13" s="291" t="s">
        <v>416</v>
      </c>
      <c r="B13" s="291"/>
      <c r="C13" s="292"/>
      <c r="D13" s="292"/>
      <c r="E13" s="292"/>
      <c r="F13" s="292"/>
      <c r="G13" s="292"/>
      <c r="H13" s="278"/>
      <c r="I13" s="278"/>
      <c r="J13" s="278" t="s">
        <v>424</v>
      </c>
    </row>
  </sheetData>
  <mergeCells count="19">
    <mergeCell ref="F10:F11"/>
    <mergeCell ref="G10:G11"/>
    <mergeCell ref="H10:H11"/>
    <mergeCell ref="I10:I11"/>
    <mergeCell ref="A9:B9"/>
    <mergeCell ref="C9:E9"/>
    <mergeCell ref="A10:B11"/>
    <mergeCell ref="C10:C11"/>
    <mergeCell ref="D10:D11"/>
    <mergeCell ref="E10:E11"/>
    <mergeCell ref="A3:J3"/>
    <mergeCell ref="A6:C6"/>
    <mergeCell ref="A7:B8"/>
    <mergeCell ref="C7:C8"/>
    <mergeCell ref="D7:D8"/>
    <mergeCell ref="E7:E8"/>
    <mergeCell ref="F7:G7"/>
    <mergeCell ref="H7:I7"/>
    <mergeCell ref="J7:J8"/>
  </mergeCells>
  <phoneticPr fontId="2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H32"/>
  <sheetViews>
    <sheetView tabSelected="1" view="pageBreakPreview" zoomScaleNormal="100" zoomScaleSheetLayoutView="100" workbookViewId="0">
      <selection activeCell="E17" sqref="E17"/>
    </sheetView>
  </sheetViews>
  <sheetFormatPr defaultRowHeight="13.5"/>
  <cols>
    <col min="1" max="1" width="7.33203125" customWidth="1"/>
    <col min="2" max="2" width="11.33203125" customWidth="1"/>
    <col min="3" max="3" width="27.77734375" customWidth="1"/>
    <col min="4" max="4" width="15.109375" style="164" customWidth="1"/>
    <col min="5" max="5" width="33.44140625" customWidth="1"/>
    <col min="6" max="6" width="16.88671875" customWidth="1"/>
    <col min="7" max="7" width="12.6640625" bestFit="1" customWidth="1"/>
  </cols>
  <sheetData>
    <row r="1" spans="1:6" ht="39" customHeight="1">
      <c r="A1" s="364" t="s">
        <v>404</v>
      </c>
      <c r="B1" s="364"/>
      <c r="C1" s="364"/>
      <c r="D1" s="364"/>
      <c r="E1" s="364"/>
      <c r="F1" s="364"/>
    </row>
    <row r="2" spans="1:6" ht="9" customHeight="1">
      <c r="A2" s="88"/>
      <c r="B2" s="88"/>
      <c r="C2" s="88"/>
      <c r="D2" s="161"/>
      <c r="E2" s="88"/>
    </row>
    <row r="3" spans="1:6" ht="27.75" customHeight="1" thickBot="1">
      <c r="A3" s="295" t="str">
        <f>심사결과!A5</f>
        <v>□ 건 명 : 방화터널 전기실 저압반 구매설치</v>
      </c>
      <c r="B3" s="113"/>
      <c r="C3" s="113"/>
      <c r="D3" s="162"/>
      <c r="E3" s="113"/>
    </row>
    <row r="4" spans="1:6" ht="18.75" customHeight="1">
      <c r="A4" s="365" t="s">
        <v>91</v>
      </c>
      <c r="B4" s="366"/>
      <c r="C4" s="367"/>
      <c r="D4" s="114" t="s">
        <v>16</v>
      </c>
      <c r="E4" s="114" t="s">
        <v>119</v>
      </c>
      <c r="F4" s="115" t="s">
        <v>120</v>
      </c>
    </row>
    <row r="5" spans="1:6" ht="20.100000000000001" customHeight="1">
      <c r="A5" s="379" t="s">
        <v>89</v>
      </c>
      <c r="B5" s="368" t="s">
        <v>88</v>
      </c>
      <c r="C5" s="131" t="s">
        <v>87</v>
      </c>
      <c r="D5" s="163"/>
      <c r="E5" s="117"/>
      <c r="F5" s="116"/>
    </row>
    <row r="6" spans="1:6" ht="20.100000000000001" customHeight="1">
      <c r="A6" s="380"/>
      <c r="B6" s="368"/>
      <c r="C6" s="153" t="s">
        <v>86</v>
      </c>
      <c r="D6" s="163"/>
      <c r="E6" s="153"/>
      <c r="F6" s="116"/>
    </row>
    <row r="7" spans="1:6" ht="20.100000000000001" customHeight="1">
      <c r="A7" s="380"/>
      <c r="B7" s="368"/>
      <c r="C7" s="153" t="s">
        <v>75</v>
      </c>
      <c r="D7" s="163"/>
      <c r="E7" s="153"/>
      <c r="F7" s="116"/>
    </row>
    <row r="8" spans="1:6" ht="20.100000000000001" customHeight="1">
      <c r="A8" s="380"/>
      <c r="B8" s="368" t="s">
        <v>84</v>
      </c>
      <c r="C8" s="153" t="s">
        <v>83</v>
      </c>
      <c r="D8" s="163"/>
      <c r="E8" s="153"/>
      <c r="F8" s="116"/>
    </row>
    <row r="9" spans="1:6" ht="20.100000000000001" customHeight="1">
      <c r="A9" s="380"/>
      <c r="B9" s="368"/>
      <c r="C9" s="153" t="s">
        <v>82</v>
      </c>
      <c r="D9" s="163"/>
      <c r="E9" s="153" t="s">
        <v>144</v>
      </c>
      <c r="F9" s="116"/>
    </row>
    <row r="10" spans="1:6" ht="20.100000000000001" customHeight="1">
      <c r="A10" s="380"/>
      <c r="B10" s="368"/>
      <c r="C10" s="153" t="s">
        <v>75</v>
      </c>
      <c r="D10" s="163"/>
      <c r="E10" s="153"/>
      <c r="F10" s="116"/>
    </row>
    <row r="11" spans="1:6" ht="20.100000000000001" customHeight="1">
      <c r="A11" s="380"/>
      <c r="B11" s="376" t="s">
        <v>81</v>
      </c>
      <c r="C11" s="153" t="s">
        <v>142</v>
      </c>
      <c r="D11" s="163"/>
      <c r="E11" s="153"/>
      <c r="F11" s="116"/>
    </row>
    <row r="12" spans="1:6" ht="20.100000000000001" customHeight="1">
      <c r="A12" s="380"/>
      <c r="B12" s="377"/>
      <c r="C12" s="85" t="s">
        <v>80</v>
      </c>
      <c r="D12" s="163"/>
      <c r="E12" s="187" t="s">
        <v>141</v>
      </c>
      <c r="F12" s="116"/>
    </row>
    <row r="13" spans="1:6" ht="20.100000000000001" customHeight="1">
      <c r="A13" s="380"/>
      <c r="B13" s="377"/>
      <c r="C13" s="85" t="s">
        <v>79</v>
      </c>
      <c r="D13" s="163"/>
      <c r="E13" s="187" t="s">
        <v>171</v>
      </c>
      <c r="F13" s="116"/>
    </row>
    <row r="14" spans="1:6" ht="20.100000000000001" customHeight="1">
      <c r="A14" s="380"/>
      <c r="B14" s="377"/>
      <c r="C14" s="85" t="s">
        <v>78</v>
      </c>
      <c r="D14" s="192"/>
      <c r="E14" s="187"/>
      <c r="F14" s="193"/>
    </row>
    <row r="15" spans="1:6" ht="20.100000000000001" customHeight="1">
      <c r="A15" s="380"/>
      <c r="B15" s="377"/>
      <c r="C15" s="85" t="s">
        <v>77</v>
      </c>
      <c r="D15" s="192"/>
      <c r="E15" s="188"/>
      <c r="F15" s="193"/>
    </row>
    <row r="16" spans="1:6" ht="20.100000000000001" customHeight="1">
      <c r="A16" s="380"/>
      <c r="B16" s="377"/>
      <c r="C16" s="85" t="s">
        <v>76</v>
      </c>
      <c r="D16" s="192"/>
      <c r="E16" s="188"/>
      <c r="F16" s="193"/>
    </row>
    <row r="17" spans="1:8" ht="20.100000000000001" customHeight="1">
      <c r="A17" s="380"/>
      <c r="B17" s="377"/>
      <c r="C17" s="371" t="s">
        <v>126</v>
      </c>
      <c r="D17" s="362"/>
      <c r="E17" s="189" t="s">
        <v>151</v>
      </c>
      <c r="F17" s="194"/>
    </row>
    <row r="18" spans="1:8" ht="20.100000000000001" customHeight="1">
      <c r="A18" s="380"/>
      <c r="B18" s="377"/>
      <c r="C18" s="372"/>
      <c r="D18" s="363"/>
      <c r="E18" s="189" t="s">
        <v>152</v>
      </c>
      <c r="F18" s="195"/>
    </row>
    <row r="19" spans="1:8" ht="20.100000000000001" customHeight="1">
      <c r="A19" s="380"/>
      <c r="B19" s="377"/>
      <c r="C19" s="186" t="s">
        <v>143</v>
      </c>
      <c r="D19" s="163"/>
      <c r="E19" s="189" t="s">
        <v>148</v>
      </c>
      <c r="F19" s="119"/>
    </row>
    <row r="20" spans="1:8" ht="20.100000000000001" customHeight="1">
      <c r="A20" s="381"/>
      <c r="B20" s="378"/>
      <c r="C20" s="153" t="s">
        <v>75</v>
      </c>
      <c r="D20" s="163"/>
      <c r="E20" s="188"/>
      <c r="F20" s="116"/>
    </row>
    <row r="21" spans="1:8" ht="20.100000000000001" customHeight="1">
      <c r="A21" s="382" t="s">
        <v>43</v>
      </c>
      <c r="B21" s="383"/>
      <c r="C21" s="153" t="s">
        <v>115</v>
      </c>
      <c r="D21" s="163"/>
      <c r="E21" s="190"/>
      <c r="F21" s="116"/>
    </row>
    <row r="22" spans="1:8" ht="20.100000000000001" customHeight="1">
      <c r="A22" s="369" t="s">
        <v>121</v>
      </c>
      <c r="B22" s="370"/>
      <c r="C22" s="153" t="s">
        <v>123</v>
      </c>
      <c r="D22" s="163"/>
      <c r="E22" s="190"/>
      <c r="F22" s="116"/>
      <c r="G22" s="84"/>
    </row>
    <row r="23" spans="1:8" ht="20.100000000000001" customHeight="1">
      <c r="A23" s="369" t="s">
        <v>132</v>
      </c>
      <c r="B23" s="370"/>
      <c r="C23" s="153"/>
      <c r="D23" s="163"/>
      <c r="E23" s="188"/>
      <c r="F23" s="166"/>
    </row>
    <row r="24" spans="1:8" ht="20.100000000000001" customHeight="1">
      <c r="A24" s="369" t="s">
        <v>97</v>
      </c>
      <c r="B24" s="370"/>
      <c r="C24" s="153"/>
      <c r="D24" s="163"/>
      <c r="E24" s="188" t="s">
        <v>72</v>
      </c>
      <c r="F24" s="116"/>
    </row>
    <row r="25" spans="1:8" ht="20.100000000000001" customHeight="1">
      <c r="A25" s="369" t="s">
        <v>124</v>
      </c>
      <c r="B25" s="370"/>
      <c r="C25" s="274" t="s">
        <v>427</v>
      </c>
      <c r="D25" s="163"/>
      <c r="E25" s="118"/>
      <c r="F25" s="274"/>
    </row>
    <row r="26" spans="1:8" ht="30.75" customHeight="1" thickBot="1">
      <c r="A26" s="373" t="s">
        <v>409</v>
      </c>
      <c r="B26" s="374"/>
      <c r="C26" s="375"/>
      <c r="D26" s="276"/>
      <c r="E26" s="275"/>
      <c r="F26" s="277" t="s">
        <v>428</v>
      </c>
      <c r="G26" s="267"/>
      <c r="H26" s="268"/>
    </row>
    <row r="27" spans="1:8">
      <c r="D27" s="164" t="s">
        <v>138</v>
      </c>
    </row>
    <row r="32" spans="1:8">
      <c r="C32" s="165"/>
    </row>
  </sheetData>
  <mergeCells count="14">
    <mergeCell ref="A26:C26"/>
    <mergeCell ref="A25:B25"/>
    <mergeCell ref="A22:B22"/>
    <mergeCell ref="A24:B24"/>
    <mergeCell ref="B11:B20"/>
    <mergeCell ref="A5:A20"/>
    <mergeCell ref="A21:B21"/>
    <mergeCell ref="D17:D18"/>
    <mergeCell ref="A1:F1"/>
    <mergeCell ref="A4:C4"/>
    <mergeCell ref="B5:B7"/>
    <mergeCell ref="A23:B23"/>
    <mergeCell ref="B8:B10"/>
    <mergeCell ref="C17:C18"/>
  </mergeCells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M16"/>
  <sheetViews>
    <sheetView view="pageBreakPreview" zoomScale="90" zoomScaleNormal="85" zoomScaleSheetLayoutView="90" workbookViewId="0">
      <selection activeCell="F6" sqref="F6:L8"/>
    </sheetView>
  </sheetViews>
  <sheetFormatPr defaultColWidth="8.88671875" defaultRowHeight="13.5"/>
  <cols>
    <col min="1" max="1" width="3.44140625" style="7" customWidth="1"/>
    <col min="2" max="2" width="20.21875" style="1" customWidth="1"/>
    <col min="3" max="3" width="36.5546875" style="3" bestFit="1" customWidth="1"/>
    <col min="4" max="4" width="5.6640625" style="1" bestFit="1" customWidth="1"/>
    <col min="5" max="5" width="10.109375" style="1" customWidth="1"/>
    <col min="6" max="6" width="11.77734375" style="1" customWidth="1"/>
    <col min="7" max="7" width="12.77734375" style="1" customWidth="1"/>
    <col min="8" max="8" width="11.77734375" style="1" customWidth="1"/>
    <col min="9" max="9" width="14.21875" style="1" customWidth="1"/>
    <col min="10" max="10" width="11.77734375" style="1" customWidth="1"/>
    <col min="11" max="11" width="12.77734375" style="5" customWidth="1"/>
    <col min="12" max="12" width="12.77734375" style="7" customWidth="1"/>
    <col min="13" max="13" width="8.88671875" style="7" customWidth="1"/>
    <col min="14" max="14" width="8.88671875" style="7"/>
    <col min="15" max="15" width="31.6640625" style="7" customWidth="1"/>
    <col min="16" max="16" width="9.44140625" style="7" customWidth="1"/>
    <col min="17" max="18" width="6.77734375" style="7" customWidth="1"/>
    <col min="19" max="19" width="8.109375" style="7" customWidth="1"/>
    <col min="20" max="16384" width="8.88671875" style="7"/>
  </cols>
  <sheetData>
    <row r="1" spans="1:13" ht="42" customHeight="1">
      <c r="A1" s="390" t="s">
        <v>45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</row>
    <row r="2" spans="1:13" s="10" customFormat="1" ht="27" customHeight="1" thickBot="1">
      <c r="A2" s="71" t="str">
        <f>'설계서(갑지)'!A6</f>
        <v>건명 : 방화터널 전기실 저압반 구매설치</v>
      </c>
      <c r="B2" s="72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3" spans="1:13" s="10" customFormat="1" ht="32.25" customHeight="1">
      <c r="A3" s="392" t="s">
        <v>20</v>
      </c>
      <c r="B3" s="393"/>
      <c r="C3" s="398" t="s">
        <v>26</v>
      </c>
      <c r="D3" s="400" t="s">
        <v>27</v>
      </c>
      <c r="E3" s="402" t="s">
        <v>4</v>
      </c>
      <c r="F3" s="404" t="s">
        <v>1</v>
      </c>
      <c r="G3" s="404"/>
      <c r="H3" s="404" t="s">
        <v>2</v>
      </c>
      <c r="I3" s="404"/>
      <c r="J3" s="404" t="s">
        <v>21</v>
      </c>
      <c r="K3" s="404"/>
      <c r="L3" s="111" t="s">
        <v>22</v>
      </c>
      <c r="M3" s="396" t="s">
        <v>23</v>
      </c>
    </row>
    <row r="4" spans="1:13" s="10" customFormat="1" ht="32.25" customHeight="1" thickBot="1">
      <c r="A4" s="394"/>
      <c r="B4" s="395"/>
      <c r="C4" s="399"/>
      <c r="D4" s="401"/>
      <c r="E4" s="403"/>
      <c r="F4" s="95" t="s">
        <v>24</v>
      </c>
      <c r="G4" s="95" t="s">
        <v>25</v>
      </c>
      <c r="H4" s="95" t="s">
        <v>24</v>
      </c>
      <c r="I4" s="95" t="s">
        <v>25</v>
      </c>
      <c r="J4" s="95" t="s">
        <v>24</v>
      </c>
      <c r="K4" s="95" t="s">
        <v>25</v>
      </c>
      <c r="L4" s="95" t="s">
        <v>18</v>
      </c>
      <c r="M4" s="397"/>
    </row>
    <row r="5" spans="1:13" s="10" customFormat="1" ht="65.25" customHeight="1">
      <c r="A5" s="384" t="s">
        <v>122</v>
      </c>
      <c r="B5" s="385"/>
      <c r="C5" s="99"/>
      <c r="D5" s="100"/>
      <c r="E5" s="101"/>
      <c r="F5" s="102"/>
      <c r="G5" s="102"/>
      <c r="H5" s="102"/>
      <c r="I5" s="102"/>
      <c r="J5" s="102"/>
      <c r="K5" s="102"/>
      <c r="L5" s="102"/>
      <c r="M5" s="103"/>
    </row>
    <row r="6" spans="1:13" s="10" customFormat="1" ht="65.25" customHeight="1">
      <c r="A6" s="388" t="s">
        <v>382</v>
      </c>
      <c r="B6" s="389"/>
      <c r="C6" s="151" t="s">
        <v>434</v>
      </c>
      <c r="D6" s="136" t="s">
        <v>71</v>
      </c>
      <c r="E6" s="96">
        <v>1</v>
      </c>
      <c r="F6" s="60"/>
      <c r="G6" s="60"/>
      <c r="H6" s="60"/>
      <c r="I6" s="60"/>
      <c r="J6" s="60"/>
      <c r="K6" s="60"/>
      <c r="L6" s="96"/>
      <c r="M6" s="138" t="s">
        <v>35</v>
      </c>
    </row>
    <row r="7" spans="1:13" s="10" customFormat="1" ht="65.25" customHeight="1">
      <c r="A7" s="388" t="s">
        <v>383</v>
      </c>
      <c r="B7" s="389"/>
      <c r="C7" s="151" t="s">
        <v>434</v>
      </c>
      <c r="D7" s="136" t="s">
        <v>71</v>
      </c>
      <c r="E7" s="96">
        <v>1</v>
      </c>
      <c r="F7" s="60"/>
      <c r="G7" s="60"/>
      <c r="H7" s="60"/>
      <c r="I7" s="60"/>
      <c r="J7" s="60"/>
      <c r="K7" s="60"/>
      <c r="L7" s="96"/>
      <c r="M7" s="138" t="s">
        <v>35</v>
      </c>
    </row>
    <row r="8" spans="1:13" s="10" customFormat="1" ht="65.25" customHeight="1">
      <c r="A8" s="388" t="s">
        <v>384</v>
      </c>
      <c r="B8" s="389"/>
      <c r="C8" s="151" t="s">
        <v>435</v>
      </c>
      <c r="D8" s="136" t="s">
        <v>167</v>
      </c>
      <c r="E8" s="140">
        <v>1</v>
      </c>
      <c r="F8" s="60"/>
      <c r="G8" s="137"/>
      <c r="H8" s="60"/>
      <c r="I8" s="137"/>
      <c r="J8" s="60"/>
      <c r="K8" s="137"/>
      <c r="L8" s="140"/>
      <c r="M8" s="138" t="s">
        <v>36</v>
      </c>
    </row>
    <row r="9" spans="1:13" s="10" customFormat="1" ht="65.25" customHeight="1">
      <c r="A9" s="388"/>
      <c r="B9" s="389"/>
      <c r="C9" s="58"/>
      <c r="D9" s="59"/>
      <c r="E9" s="112"/>
      <c r="F9" s="97"/>
      <c r="G9" s="97"/>
      <c r="H9" s="60"/>
      <c r="I9" s="60"/>
      <c r="J9" s="60"/>
      <c r="K9" s="60"/>
      <c r="L9" s="60"/>
      <c r="M9" s="81"/>
    </row>
    <row r="10" spans="1:13" s="10" customFormat="1" ht="65.25" customHeight="1">
      <c r="A10" s="388"/>
      <c r="B10" s="389"/>
      <c r="C10" s="58"/>
      <c r="D10" s="59"/>
      <c r="E10" s="112"/>
      <c r="F10" s="97"/>
      <c r="G10" s="97"/>
      <c r="H10" s="60"/>
      <c r="I10" s="60"/>
      <c r="J10" s="60"/>
      <c r="K10" s="60"/>
      <c r="L10" s="60"/>
      <c r="M10" s="81"/>
    </row>
    <row r="11" spans="1:13" s="21" customFormat="1" ht="65.25" customHeight="1" thickBot="1">
      <c r="A11" s="386" t="s">
        <v>116</v>
      </c>
      <c r="B11" s="387"/>
      <c r="C11" s="105"/>
      <c r="D11" s="106"/>
      <c r="E11" s="107"/>
      <c r="F11" s="108"/>
      <c r="G11" s="109">
        <f>SUM(G6:G10)</f>
        <v>0</v>
      </c>
      <c r="H11" s="109"/>
      <c r="I11" s="109">
        <f>SUM(I6:I10)</f>
        <v>0</v>
      </c>
      <c r="J11" s="109"/>
      <c r="K11" s="109">
        <f>SUM(K6:K10)</f>
        <v>0</v>
      </c>
      <c r="L11" s="109">
        <f>SUM(L6:L10)</f>
        <v>0</v>
      </c>
      <c r="M11" s="110"/>
    </row>
    <row r="12" spans="1:13" s="10" customFormat="1" ht="24.95" customHeight="1">
      <c r="B12" s="16"/>
      <c r="C12" s="17"/>
      <c r="D12" s="11"/>
      <c r="E12" s="12"/>
      <c r="F12" s="13"/>
      <c r="G12" s="14"/>
      <c r="H12" s="14"/>
      <c r="I12" s="14"/>
      <c r="J12" s="14"/>
      <c r="K12" s="14"/>
      <c r="L12" s="14"/>
      <c r="M12" s="15"/>
    </row>
    <row r="13" spans="1:13" s="10" customFormat="1" ht="24.95" customHeight="1">
      <c r="B13" s="16"/>
      <c r="C13" s="17"/>
      <c r="D13" s="11"/>
      <c r="E13" s="12"/>
      <c r="F13" s="13"/>
      <c r="G13" s="14"/>
      <c r="H13" s="14"/>
      <c r="I13" s="14"/>
      <c r="J13" s="14"/>
      <c r="K13" s="14"/>
      <c r="L13" s="14"/>
      <c r="M13" s="15"/>
    </row>
    <row r="14" spans="1:13" s="10" customFormat="1" ht="24.95" customHeight="1">
      <c r="B14" s="16"/>
      <c r="C14" s="17"/>
      <c r="D14" s="11"/>
      <c r="E14" s="12"/>
      <c r="F14" s="13"/>
      <c r="G14" s="14"/>
      <c r="H14" s="14"/>
      <c r="I14" s="14"/>
      <c r="J14" s="14"/>
      <c r="K14" s="14"/>
      <c r="L14" s="14"/>
      <c r="M14" s="15"/>
    </row>
    <row r="15" spans="1:13" s="10" customFormat="1" ht="24.95" customHeight="1">
      <c r="B15" s="16"/>
      <c r="C15" s="17"/>
      <c r="D15" s="11"/>
      <c r="E15" s="12"/>
      <c r="F15" s="13"/>
      <c r="G15" s="14"/>
      <c r="H15" s="14"/>
      <c r="I15" s="14"/>
      <c r="J15" s="14"/>
      <c r="K15" s="14"/>
      <c r="L15" s="14"/>
      <c r="M15" s="15"/>
    </row>
    <row r="16" spans="1:13" s="10" customFormat="1" ht="24.95" customHeight="1">
      <c r="B16" s="16"/>
      <c r="D16" s="11"/>
      <c r="E16" s="12"/>
      <c r="F16" s="13"/>
      <c r="G16" s="14"/>
      <c r="H16" s="14"/>
      <c r="I16" s="14"/>
      <c r="J16" s="14"/>
      <c r="K16" s="14"/>
      <c r="L16" s="14"/>
      <c r="M16" s="15"/>
    </row>
  </sheetData>
  <mergeCells count="16">
    <mergeCell ref="A1:M1"/>
    <mergeCell ref="A3:B4"/>
    <mergeCell ref="M3:M4"/>
    <mergeCell ref="C3:C4"/>
    <mergeCell ref="D3:D4"/>
    <mergeCell ref="E3:E4"/>
    <mergeCell ref="J3:K3"/>
    <mergeCell ref="F3:G3"/>
    <mergeCell ref="H3:I3"/>
    <mergeCell ref="A5:B5"/>
    <mergeCell ref="A11:B11"/>
    <mergeCell ref="A9:B9"/>
    <mergeCell ref="A10:B10"/>
    <mergeCell ref="A8:B8"/>
    <mergeCell ref="A6:B6"/>
    <mergeCell ref="A7:B7"/>
  </mergeCells>
  <phoneticPr fontId="2" type="noConversion"/>
  <printOptions horizontalCentered="1"/>
  <pageMargins left="0.43307086614173229" right="0.31496062992125984" top="0.78740157480314965" bottom="0.51181102362204722" header="0.78740157480314965" footer="0.51181102362204722"/>
  <pageSetup paperSize="9" scale="7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15"/>
  <sheetViews>
    <sheetView view="pageBreakPreview" zoomScaleNormal="100" zoomScaleSheetLayoutView="100" workbookViewId="0">
      <selection activeCell="C13" sqref="C13"/>
    </sheetView>
  </sheetViews>
  <sheetFormatPr defaultColWidth="8.88671875" defaultRowHeight="13.5"/>
  <cols>
    <col min="1" max="1" width="12.6640625" style="1" customWidth="1"/>
    <col min="2" max="2" width="14.44140625" style="2" customWidth="1"/>
    <col min="3" max="3" width="20.77734375" style="1" customWidth="1"/>
    <col min="4" max="4" width="5.109375" style="3" customWidth="1"/>
    <col min="5" max="5" width="13.77734375" style="1" customWidth="1"/>
    <col min="6" max="6" width="13.33203125" style="9" customWidth="1"/>
    <col min="7" max="7" width="14.109375" style="1" customWidth="1"/>
    <col min="8" max="8" width="10.77734375" style="9" customWidth="1"/>
    <col min="9" max="9" width="6.77734375" style="7" customWidth="1"/>
    <col min="10" max="10" width="16.33203125" style="7" hidden="1" customWidth="1"/>
    <col min="11" max="11" width="13.77734375" style="7" hidden="1" customWidth="1"/>
    <col min="12" max="12" width="8.88671875" style="7"/>
    <col min="13" max="13" width="31.6640625" style="7" customWidth="1"/>
    <col min="14" max="14" width="9.44140625" style="7" customWidth="1"/>
    <col min="15" max="16" width="6.77734375" style="7" customWidth="1"/>
    <col min="17" max="17" width="8.109375" style="7" customWidth="1"/>
    <col min="18" max="16384" width="8.88671875" style="7"/>
  </cols>
  <sheetData>
    <row r="1" spans="1:11" s="4" customFormat="1" ht="42.6" customHeight="1">
      <c r="A1" s="405" t="s">
        <v>98</v>
      </c>
      <c r="B1" s="405"/>
      <c r="C1" s="405"/>
      <c r="D1" s="405"/>
      <c r="E1" s="405"/>
      <c r="F1" s="405"/>
      <c r="G1" s="405"/>
      <c r="H1" s="405"/>
    </row>
    <row r="2" spans="1:11" s="6" customFormat="1" ht="6" customHeight="1">
      <c r="A2" s="19"/>
      <c r="B2" s="18"/>
      <c r="C2" s="19"/>
      <c r="D2" s="20"/>
      <c r="E2" s="19"/>
      <c r="F2" s="174"/>
      <c r="G2" s="19"/>
      <c r="H2" s="174"/>
    </row>
    <row r="3" spans="1:11" ht="26.25" customHeight="1" thickBot="1">
      <c r="A3" s="406" t="str">
        <f>'설계서(갑지)'!A6</f>
        <v>건명 : 방화터널 전기실 저압반 구매설치</v>
      </c>
      <c r="B3" s="406"/>
      <c r="C3" s="406"/>
      <c r="D3" s="406"/>
      <c r="E3" s="406"/>
      <c r="F3" s="406"/>
      <c r="G3" s="406"/>
      <c r="H3" s="406"/>
    </row>
    <row r="4" spans="1:11" s="8" customFormat="1" ht="52.5" customHeight="1">
      <c r="A4" s="124" t="s">
        <v>30</v>
      </c>
      <c r="B4" s="125" t="s">
        <v>31</v>
      </c>
      <c r="C4" s="125" t="s">
        <v>32</v>
      </c>
      <c r="D4" s="125" t="s">
        <v>8</v>
      </c>
      <c r="E4" s="126" t="s">
        <v>19</v>
      </c>
      <c r="F4" s="126" t="s">
        <v>33</v>
      </c>
      <c r="G4" s="127" t="s">
        <v>34</v>
      </c>
      <c r="H4" s="128" t="s">
        <v>21</v>
      </c>
    </row>
    <row r="5" spans="1:11" ht="52.5" customHeight="1">
      <c r="A5" s="139" t="s">
        <v>35</v>
      </c>
      <c r="B5" s="171" t="s">
        <v>135</v>
      </c>
      <c r="C5" s="172" t="s">
        <v>434</v>
      </c>
      <c r="D5" s="135" t="s">
        <v>136</v>
      </c>
      <c r="E5" s="173"/>
      <c r="F5" s="175"/>
      <c r="G5" s="173"/>
      <c r="H5" s="177"/>
      <c r="J5" s="7" t="e">
        <f>'설치일위대가 '!#REF!</f>
        <v>#REF!</v>
      </c>
      <c r="K5" s="1" t="e">
        <f>IF(E5=J5,"OK","확인")</f>
        <v>#REF!</v>
      </c>
    </row>
    <row r="6" spans="1:11" ht="52.5" customHeight="1">
      <c r="A6" s="139" t="s">
        <v>153</v>
      </c>
      <c r="B6" s="171" t="s">
        <v>135</v>
      </c>
      <c r="C6" s="217" t="s">
        <v>435</v>
      </c>
      <c r="D6" s="135" t="s">
        <v>136</v>
      </c>
      <c r="E6" s="173"/>
      <c r="F6" s="175"/>
      <c r="G6" s="173"/>
      <c r="H6" s="177"/>
      <c r="K6" s="1"/>
    </row>
    <row r="7" spans="1:11" ht="52.5" customHeight="1" thickBot="1">
      <c r="A7" s="248" t="s">
        <v>154</v>
      </c>
      <c r="B7" s="249" t="s">
        <v>137</v>
      </c>
      <c r="C7" s="250"/>
      <c r="D7" s="251" t="s">
        <v>134</v>
      </c>
      <c r="E7" s="252"/>
      <c r="F7" s="253"/>
      <c r="G7" s="252"/>
      <c r="H7" s="254"/>
      <c r="K7" s="1"/>
    </row>
    <row r="8" spans="1:11" ht="26.25" customHeight="1">
      <c r="A8" s="7"/>
      <c r="B8" s="7"/>
      <c r="C8" s="7"/>
      <c r="D8" s="7"/>
      <c r="E8" s="7"/>
      <c r="F8" s="176"/>
      <c r="G8" s="7"/>
      <c r="H8" s="176"/>
      <c r="K8" s="1"/>
    </row>
    <row r="9" spans="1:11" ht="26.25" customHeight="1">
      <c r="A9" s="7"/>
      <c r="B9" s="7"/>
      <c r="C9" s="7"/>
      <c r="D9" s="7"/>
      <c r="E9" s="7"/>
      <c r="F9" s="176"/>
      <c r="G9" s="7"/>
      <c r="H9" s="176"/>
      <c r="K9" s="1"/>
    </row>
    <row r="10" spans="1:11" ht="26.25" customHeight="1">
      <c r="A10" s="7"/>
      <c r="B10" s="7"/>
      <c r="C10" s="7"/>
      <c r="D10" s="7"/>
      <c r="E10" s="7"/>
      <c r="F10" s="176"/>
      <c r="G10" s="7"/>
      <c r="H10" s="176"/>
      <c r="K10" s="1"/>
    </row>
    <row r="11" spans="1:11" ht="26.25" customHeight="1">
      <c r="A11" s="7"/>
      <c r="B11" s="7"/>
      <c r="C11" s="7"/>
      <c r="D11" s="7"/>
      <c r="E11" s="7"/>
      <c r="F11" s="176"/>
      <c r="G11" s="7"/>
      <c r="H11" s="176"/>
      <c r="K11" s="1"/>
    </row>
    <row r="12" spans="1:11" ht="26.25" customHeight="1">
      <c r="A12" s="7"/>
      <c r="B12" s="7"/>
      <c r="C12" s="7"/>
      <c r="D12" s="7"/>
      <c r="E12" s="7"/>
      <c r="F12" s="176"/>
      <c r="G12" s="7"/>
      <c r="H12" s="176"/>
      <c r="K12" s="1"/>
    </row>
    <row r="13" spans="1:11" ht="26.25" customHeight="1">
      <c r="A13" s="7"/>
      <c r="B13" s="7"/>
      <c r="C13" s="7"/>
      <c r="D13" s="7"/>
      <c r="E13" s="7"/>
      <c r="F13" s="176"/>
      <c r="G13" s="7"/>
      <c r="H13" s="176"/>
      <c r="K13" s="1"/>
    </row>
    <row r="14" spans="1:11" ht="26.25" customHeight="1">
      <c r="A14" s="7"/>
      <c r="B14" s="7"/>
      <c r="C14" s="7"/>
      <c r="D14" s="7"/>
      <c r="E14" s="7"/>
      <c r="F14" s="176"/>
      <c r="G14" s="7"/>
      <c r="H14" s="176"/>
      <c r="K14" s="1"/>
    </row>
    <row r="15" spans="1:11" ht="30" customHeight="1">
      <c r="A15" s="7"/>
      <c r="B15" s="7"/>
      <c r="C15" s="7"/>
      <c r="D15" s="7"/>
      <c r="E15" s="7"/>
      <c r="F15" s="176"/>
      <c r="G15" s="7"/>
      <c r="H15" s="176"/>
    </row>
  </sheetData>
  <mergeCells count="2">
    <mergeCell ref="A1:H1"/>
    <mergeCell ref="A3:H3"/>
  </mergeCells>
  <phoneticPr fontId="2" type="noConversion"/>
  <printOptions horizontalCentered="1"/>
  <pageMargins left="0.55118110236220474" right="0.47244094488188981" top="0.78740157480314965" bottom="0.51181102362204722" header="0.78740157480314965" footer="0.51181102362204722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dimension ref="A1:Q24"/>
  <sheetViews>
    <sheetView view="pageBreakPreview" zoomScale="85" zoomScaleNormal="100" zoomScaleSheetLayoutView="85" workbookViewId="0">
      <pane ySplit="4" topLeftCell="A5" activePane="bottomLeft" state="frozen"/>
      <selection activeCell="A2" sqref="A2:I2"/>
      <selection pane="bottomLeft" activeCell="G24" sqref="G24"/>
    </sheetView>
  </sheetViews>
  <sheetFormatPr defaultColWidth="8.88671875" defaultRowHeight="13.5"/>
  <cols>
    <col min="1" max="2" width="8.88671875" style="1" customWidth="1"/>
    <col min="3" max="3" width="23" style="2" customWidth="1"/>
    <col min="4" max="4" width="5.109375" style="3" customWidth="1"/>
    <col min="5" max="5" width="9.21875" style="1" customWidth="1"/>
    <col min="6" max="6" width="13.77734375" style="1" customWidth="1"/>
    <col min="7" max="7" width="9" style="1" bestFit="1" customWidth="1"/>
    <col min="8" max="8" width="10.21875" style="1" bestFit="1" customWidth="1"/>
    <col min="9" max="9" width="9.33203125" style="1" customWidth="1"/>
    <col min="10" max="10" width="13.44140625" style="1" customWidth="1"/>
    <col min="11" max="11" width="10.6640625" style="1" customWidth="1"/>
    <col min="12" max="12" width="10.33203125" style="1" customWidth="1"/>
    <col min="13" max="13" width="14.6640625" style="5" customWidth="1"/>
    <col min="14" max="14" width="8.77734375" style="7" hidden="1" customWidth="1"/>
    <col min="15" max="15" width="16.33203125" style="7" hidden="1" customWidth="1"/>
    <col min="16" max="16" width="13.77734375" style="7" customWidth="1"/>
    <col min="17" max="17" width="8.88671875" style="7"/>
    <col min="18" max="18" width="31.6640625" style="7" customWidth="1"/>
    <col min="19" max="19" width="9.44140625" style="7" customWidth="1"/>
    <col min="20" max="21" width="6.77734375" style="7" customWidth="1"/>
    <col min="22" max="22" width="8.109375" style="7" customWidth="1"/>
    <col min="23" max="16384" width="8.88671875" style="7"/>
  </cols>
  <sheetData>
    <row r="1" spans="1:17" s="4" customFormat="1" ht="42.6" customHeight="1" thickTop="1">
      <c r="A1" s="414" t="s">
        <v>6</v>
      </c>
      <c r="B1" s="415"/>
      <c r="C1" s="415"/>
      <c r="D1" s="415"/>
      <c r="E1" s="415"/>
      <c r="F1" s="415"/>
      <c r="G1" s="415"/>
      <c r="H1" s="415"/>
      <c r="I1" s="415"/>
      <c r="J1" s="415"/>
      <c r="K1" s="415"/>
      <c r="L1" s="415"/>
      <c r="M1" s="416"/>
    </row>
    <row r="2" spans="1:17" s="6" customFormat="1" ht="6" customHeight="1">
      <c r="A2" s="22"/>
      <c r="B2" s="24"/>
      <c r="C2" s="23"/>
      <c r="D2" s="25"/>
      <c r="E2" s="24"/>
      <c r="F2" s="24"/>
      <c r="G2" s="24"/>
      <c r="H2" s="24"/>
      <c r="I2" s="24"/>
      <c r="J2" s="24"/>
      <c r="K2" s="24"/>
      <c r="L2" s="24"/>
      <c r="M2" s="26"/>
    </row>
    <row r="3" spans="1:17" s="8" customFormat="1" ht="21.75" customHeight="1">
      <c r="A3" s="421" t="s">
        <v>40</v>
      </c>
      <c r="B3" s="423" t="s">
        <v>39</v>
      </c>
      <c r="C3" s="423" t="s">
        <v>41</v>
      </c>
      <c r="D3" s="423" t="s">
        <v>8</v>
      </c>
      <c r="E3" s="424" t="s">
        <v>7</v>
      </c>
      <c r="F3" s="419" t="s">
        <v>9</v>
      </c>
      <c r="G3" s="43" t="s">
        <v>10</v>
      </c>
      <c r="H3" s="44"/>
      <c r="I3" s="43" t="s">
        <v>11</v>
      </c>
      <c r="J3" s="45"/>
      <c r="K3" s="426" t="s">
        <v>12</v>
      </c>
      <c r="L3" s="427"/>
      <c r="M3" s="417" t="s">
        <v>13</v>
      </c>
    </row>
    <row r="4" spans="1:17" s="1" customFormat="1" ht="26.25" customHeight="1">
      <c r="A4" s="422"/>
      <c r="B4" s="428"/>
      <c r="C4" s="420"/>
      <c r="D4" s="428"/>
      <c r="E4" s="425"/>
      <c r="F4" s="420"/>
      <c r="G4" s="46" t="s">
        <v>14</v>
      </c>
      <c r="H4" s="46" t="s">
        <v>15</v>
      </c>
      <c r="I4" s="46" t="s">
        <v>0</v>
      </c>
      <c r="J4" s="46" t="s">
        <v>16</v>
      </c>
      <c r="K4" s="46" t="s">
        <v>17</v>
      </c>
      <c r="L4" s="46" t="s">
        <v>18</v>
      </c>
      <c r="M4" s="418"/>
    </row>
    <row r="5" spans="1:17" s="1" customFormat="1" ht="28.35" customHeight="1">
      <c r="A5" s="407" t="s">
        <v>139</v>
      </c>
      <c r="B5" s="408"/>
      <c r="C5" s="409" t="s">
        <v>386</v>
      </c>
      <c r="D5" s="410"/>
      <c r="E5" s="410"/>
      <c r="F5" s="410"/>
      <c r="G5" s="410"/>
      <c r="H5" s="410"/>
      <c r="I5" s="410"/>
      <c r="J5" s="410"/>
      <c r="K5" s="410"/>
      <c r="L5" s="410"/>
      <c r="M5" s="411"/>
    </row>
    <row r="6" spans="1:17" s="1" customFormat="1" ht="28.35" customHeight="1">
      <c r="A6" s="35"/>
      <c r="B6" s="55" t="s">
        <v>95</v>
      </c>
      <c r="C6" s="27" t="s">
        <v>93</v>
      </c>
      <c r="D6" s="27" t="s">
        <v>94</v>
      </c>
      <c r="E6" s="148" t="s">
        <v>129</v>
      </c>
      <c r="F6" s="28"/>
      <c r="G6" s="36"/>
      <c r="H6" s="36"/>
      <c r="I6" s="28"/>
      <c r="J6" s="149"/>
      <c r="K6" s="32"/>
      <c r="L6" s="32"/>
      <c r="M6" s="185" t="s">
        <v>395</v>
      </c>
    </row>
    <row r="7" spans="1:17" s="1" customFormat="1" ht="28.35" customHeight="1">
      <c r="A7" s="35"/>
      <c r="B7" s="55" t="s">
        <v>2</v>
      </c>
      <c r="C7" s="27" t="s">
        <v>388</v>
      </c>
      <c r="D7" s="27" t="s">
        <v>131</v>
      </c>
      <c r="E7" s="148" t="s">
        <v>389</v>
      </c>
      <c r="F7" s="28"/>
      <c r="G7" s="36"/>
      <c r="H7" s="36"/>
      <c r="I7" s="28"/>
      <c r="J7" s="149"/>
      <c r="K7" s="32"/>
      <c r="L7" s="32"/>
      <c r="M7" s="34" t="s">
        <v>63</v>
      </c>
    </row>
    <row r="8" spans="1:17" s="1" customFormat="1" ht="28.35" customHeight="1">
      <c r="A8" s="35"/>
      <c r="B8" s="257"/>
      <c r="C8" s="27" t="s">
        <v>60</v>
      </c>
      <c r="D8" s="27" t="s">
        <v>62</v>
      </c>
      <c r="E8" s="148" t="s">
        <v>390</v>
      </c>
      <c r="F8" s="28"/>
      <c r="G8" s="36"/>
      <c r="H8" s="36"/>
      <c r="I8" s="28"/>
      <c r="J8" s="149"/>
      <c r="K8" s="32"/>
      <c r="L8" s="32"/>
      <c r="M8" s="34" t="s">
        <v>63</v>
      </c>
    </row>
    <row r="9" spans="1:17" s="1" customFormat="1" ht="28.35" customHeight="1">
      <c r="A9" s="35"/>
      <c r="B9" s="55"/>
      <c r="C9" s="27" t="s">
        <v>61</v>
      </c>
      <c r="D9" s="27" t="s">
        <v>96</v>
      </c>
      <c r="E9" s="148" t="s">
        <v>391</v>
      </c>
      <c r="F9" s="28"/>
      <c r="G9" s="36"/>
      <c r="H9" s="36"/>
      <c r="I9" s="28"/>
      <c r="J9" s="149"/>
      <c r="K9" s="32"/>
      <c r="L9" s="32"/>
      <c r="M9" s="34" t="s">
        <v>63</v>
      </c>
      <c r="Q9" s="273">
        <f>0.8*2.85*2.5</f>
        <v>5.7000000000000011</v>
      </c>
    </row>
    <row r="10" spans="1:17" ht="28.35" customHeight="1">
      <c r="A10" s="42"/>
      <c r="B10" s="56"/>
      <c r="C10" s="39" t="s">
        <v>3</v>
      </c>
      <c r="D10" s="39"/>
      <c r="E10" s="38"/>
      <c r="F10" s="40"/>
      <c r="G10" s="41"/>
      <c r="H10" s="41"/>
      <c r="I10" s="41"/>
      <c r="J10" s="41"/>
      <c r="K10" s="32"/>
      <c r="L10" s="41"/>
      <c r="M10" s="33"/>
    </row>
    <row r="11" spans="1:17" ht="28.35" customHeight="1">
      <c r="A11" s="407" t="s">
        <v>140</v>
      </c>
      <c r="B11" s="408"/>
      <c r="C11" s="409" t="s">
        <v>387</v>
      </c>
      <c r="D11" s="410"/>
      <c r="E11" s="410"/>
      <c r="F11" s="410"/>
      <c r="G11" s="410"/>
      <c r="H11" s="410"/>
      <c r="I11" s="410"/>
      <c r="J11" s="410"/>
      <c r="K11" s="410"/>
      <c r="L11" s="410"/>
      <c r="M11" s="411"/>
    </row>
    <row r="12" spans="1:17" ht="28.35" customHeight="1">
      <c r="A12" s="35"/>
      <c r="B12" s="55" t="s">
        <v>95</v>
      </c>
      <c r="C12" s="27" t="s">
        <v>93</v>
      </c>
      <c r="D12" s="27" t="s">
        <v>94</v>
      </c>
      <c r="E12" s="148" t="s">
        <v>128</v>
      </c>
      <c r="F12" s="28"/>
      <c r="G12" s="36"/>
      <c r="H12" s="36"/>
      <c r="I12" s="28"/>
      <c r="J12" s="149"/>
      <c r="K12" s="32"/>
      <c r="L12" s="32"/>
      <c r="M12" s="184" t="s">
        <v>395</v>
      </c>
    </row>
    <row r="13" spans="1:17" ht="28.35" customHeight="1">
      <c r="A13" s="35"/>
      <c r="B13" s="55" t="s">
        <v>2</v>
      </c>
      <c r="C13" s="27" t="s">
        <v>130</v>
      </c>
      <c r="D13" s="27" t="s">
        <v>5</v>
      </c>
      <c r="E13" s="148" t="s">
        <v>392</v>
      </c>
      <c r="F13" s="28"/>
      <c r="G13" s="36"/>
      <c r="H13" s="36"/>
      <c r="I13" s="28"/>
      <c r="J13" s="149"/>
      <c r="K13" s="32"/>
      <c r="L13" s="32"/>
      <c r="M13" s="34" t="s">
        <v>63</v>
      </c>
    </row>
    <row r="14" spans="1:17" ht="28.35" customHeight="1">
      <c r="A14" s="35"/>
      <c r="B14" s="257"/>
      <c r="C14" s="27" t="s">
        <v>60</v>
      </c>
      <c r="D14" s="27" t="s">
        <v>5</v>
      </c>
      <c r="E14" s="148" t="s">
        <v>393</v>
      </c>
      <c r="F14" s="28"/>
      <c r="G14" s="36"/>
      <c r="H14" s="36"/>
      <c r="I14" s="28"/>
      <c r="J14" s="149"/>
      <c r="K14" s="32"/>
      <c r="L14" s="32"/>
      <c r="M14" s="34" t="s">
        <v>63</v>
      </c>
    </row>
    <row r="15" spans="1:17" ht="27.75" customHeight="1">
      <c r="A15" s="35"/>
      <c r="B15" s="55"/>
      <c r="C15" s="27" t="s">
        <v>61</v>
      </c>
      <c r="D15" s="27" t="s">
        <v>5</v>
      </c>
      <c r="E15" s="148" t="s">
        <v>394</v>
      </c>
      <c r="F15" s="28"/>
      <c r="G15" s="36"/>
      <c r="H15" s="36"/>
      <c r="I15" s="28"/>
      <c r="J15" s="149"/>
      <c r="K15" s="32"/>
      <c r="L15" s="32"/>
      <c r="M15" s="34" t="s">
        <v>63</v>
      </c>
    </row>
    <row r="16" spans="1:17" ht="27.75" customHeight="1">
      <c r="A16" s="42"/>
      <c r="B16" s="56"/>
      <c r="C16" s="39" t="s">
        <v>3</v>
      </c>
      <c r="D16" s="39"/>
      <c r="E16" s="38"/>
      <c r="F16" s="40"/>
      <c r="G16" s="41"/>
      <c r="H16" s="41"/>
      <c r="I16" s="41"/>
      <c r="J16" s="41"/>
      <c r="K16" s="32"/>
      <c r="L16" s="41"/>
      <c r="M16" s="33"/>
    </row>
    <row r="17" spans="1:16" ht="28.35" customHeight="1">
      <c r="A17" s="412" t="s">
        <v>395</v>
      </c>
      <c r="B17" s="413"/>
      <c r="C17" s="150" t="s">
        <v>133</v>
      </c>
      <c r="D17" s="48"/>
      <c r="E17" s="53"/>
      <c r="F17" s="49"/>
      <c r="G17" s="50"/>
      <c r="H17" s="50"/>
      <c r="I17" s="50"/>
      <c r="J17" s="51"/>
      <c r="K17" s="47"/>
      <c r="L17" s="47"/>
      <c r="M17" s="52"/>
    </row>
    <row r="18" spans="1:16" ht="28.35" customHeight="1">
      <c r="A18" s="37"/>
      <c r="B18" s="54" t="s">
        <v>1</v>
      </c>
      <c r="C18" s="29" t="s">
        <v>38</v>
      </c>
      <c r="D18" s="31" t="s">
        <v>37</v>
      </c>
      <c r="E18" s="148" t="s">
        <v>92</v>
      </c>
      <c r="F18" s="28"/>
      <c r="G18" s="32"/>
      <c r="H18" s="32"/>
      <c r="I18" s="32"/>
      <c r="J18" s="149"/>
      <c r="K18" s="32"/>
      <c r="L18" s="32"/>
      <c r="M18" s="33"/>
      <c r="P18" s="211"/>
    </row>
    <row r="19" spans="1:16" ht="28.35" customHeight="1">
      <c r="A19" s="37"/>
      <c r="B19" s="54" t="s">
        <v>64</v>
      </c>
      <c r="C19" s="29" t="s">
        <v>65</v>
      </c>
      <c r="D19" s="148" t="s">
        <v>66</v>
      </c>
      <c r="E19" s="148" t="s">
        <v>68</v>
      </c>
      <c r="F19" s="28"/>
      <c r="G19" s="32"/>
      <c r="H19" s="32"/>
      <c r="I19" s="32"/>
      <c r="J19" s="149"/>
      <c r="K19" s="32"/>
      <c r="L19" s="32"/>
      <c r="M19" s="33"/>
    </row>
    <row r="20" spans="1:16" ht="28.35" customHeight="1">
      <c r="A20" s="37"/>
      <c r="B20" s="55" t="s">
        <v>69</v>
      </c>
      <c r="C20" s="29" t="s">
        <v>70</v>
      </c>
      <c r="D20" s="31" t="s">
        <v>5</v>
      </c>
      <c r="E20" s="170">
        <v>0.20799999999999999</v>
      </c>
      <c r="F20" s="28"/>
      <c r="G20" s="32"/>
      <c r="H20" s="32"/>
      <c r="I20" s="32"/>
      <c r="J20" s="149"/>
      <c r="K20" s="32"/>
      <c r="L20" s="32"/>
      <c r="M20" s="33"/>
    </row>
    <row r="21" spans="1:16" ht="28.35" customHeight="1">
      <c r="A21" s="37"/>
      <c r="B21" s="54" t="s">
        <v>67</v>
      </c>
      <c r="C21" s="29" t="s">
        <v>127</v>
      </c>
      <c r="D21" s="31" t="s">
        <v>28</v>
      </c>
      <c r="E21" s="170">
        <v>2.5980000000000003E-4</v>
      </c>
      <c r="F21" s="28"/>
      <c r="G21" s="32"/>
      <c r="H21" s="32"/>
      <c r="I21" s="32"/>
      <c r="J21" s="149"/>
      <c r="K21" s="32"/>
      <c r="L21" s="32"/>
      <c r="M21" s="33"/>
      <c r="P21" s="169"/>
    </row>
    <row r="22" spans="1:16" ht="28.35" customHeight="1">
      <c r="A22" s="42"/>
      <c r="B22" s="57"/>
      <c r="C22" s="39" t="s">
        <v>3</v>
      </c>
      <c r="D22" s="39"/>
      <c r="E22" s="38"/>
      <c r="F22" s="40"/>
      <c r="G22" s="41"/>
      <c r="H22" s="30"/>
      <c r="I22" s="41"/>
      <c r="J22" s="30"/>
      <c r="K22" s="32"/>
      <c r="L22" s="89"/>
      <c r="M22" s="33"/>
    </row>
    <row r="23" spans="1:16" ht="20.25" customHeight="1">
      <c r="A23" s="257"/>
      <c r="B23" s="257"/>
      <c r="C23" s="258"/>
      <c r="D23" s="259"/>
      <c r="E23" s="257"/>
      <c r="F23" s="257"/>
      <c r="G23" s="257"/>
      <c r="H23" s="257"/>
      <c r="I23" s="257"/>
      <c r="J23" s="257"/>
      <c r="K23" s="257"/>
      <c r="L23" s="257"/>
      <c r="M23" s="260"/>
    </row>
    <row r="24" spans="1:16" ht="25.5" customHeight="1">
      <c r="A24" s="257"/>
      <c r="B24" s="257"/>
      <c r="C24" s="258"/>
      <c r="D24" s="259"/>
      <c r="E24" s="257"/>
      <c r="F24" s="257"/>
      <c r="G24" s="257"/>
      <c r="H24" s="257"/>
      <c r="I24" s="257"/>
      <c r="J24" s="257"/>
      <c r="K24" s="257"/>
      <c r="L24" s="257"/>
      <c r="M24" s="260"/>
    </row>
  </sheetData>
  <mergeCells count="14">
    <mergeCell ref="A1:M1"/>
    <mergeCell ref="M3:M4"/>
    <mergeCell ref="F3:F4"/>
    <mergeCell ref="A3:A4"/>
    <mergeCell ref="C3:C4"/>
    <mergeCell ref="E3:E4"/>
    <mergeCell ref="K3:L3"/>
    <mergeCell ref="D3:D4"/>
    <mergeCell ref="B3:B4"/>
    <mergeCell ref="A11:B11"/>
    <mergeCell ref="C11:M11"/>
    <mergeCell ref="A17:B17"/>
    <mergeCell ref="A5:B5"/>
    <mergeCell ref="C5:M5"/>
  </mergeCells>
  <phoneticPr fontId="2" type="noConversion"/>
  <printOptions horizontalCentered="1"/>
  <pageMargins left="0.55118110236220474" right="0.47244094488188981" top="0.82677165354330717" bottom="0.51181102362204722" header="0.39370078740157483" footer="0.51181102362204722"/>
  <pageSetup paperSize="9" scale="8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dimension ref="A1:G18"/>
  <sheetViews>
    <sheetView view="pageBreakPreview" zoomScale="110" zoomScaleNormal="100" zoomScaleSheetLayoutView="110" workbookViewId="0">
      <selection activeCell="D14" sqref="D14"/>
    </sheetView>
  </sheetViews>
  <sheetFormatPr defaultRowHeight="13.5"/>
  <cols>
    <col min="1" max="1" width="11.6640625" customWidth="1"/>
    <col min="2" max="2" width="15.21875" customWidth="1"/>
    <col min="3" max="3" width="36.109375" customWidth="1"/>
    <col min="4" max="4" width="28.88671875" style="179" customWidth="1"/>
    <col min="5" max="5" width="18.5546875" customWidth="1"/>
    <col min="7" max="7" width="12.6640625" bestFit="1" customWidth="1"/>
  </cols>
  <sheetData>
    <row r="1" spans="1:7" ht="39" customHeight="1">
      <c r="A1" s="364" t="s">
        <v>114</v>
      </c>
      <c r="B1" s="364"/>
      <c r="C1" s="364"/>
      <c r="D1" s="364"/>
      <c r="E1" s="364"/>
    </row>
    <row r="2" spans="1:7" ht="9" customHeight="1">
      <c r="A2" s="88"/>
      <c r="B2" s="88"/>
      <c r="C2" s="88"/>
      <c r="D2" s="178"/>
      <c r="E2" s="88"/>
    </row>
    <row r="3" spans="1:7" ht="16.5">
      <c r="A3" s="61"/>
      <c r="B3" s="87"/>
      <c r="C3" s="87"/>
      <c r="D3" s="87"/>
      <c r="E3" s="87"/>
    </row>
    <row r="4" spans="1:7" ht="27.75" customHeight="1">
      <c r="A4" s="429" t="s">
        <v>91</v>
      </c>
      <c r="B4" s="430"/>
      <c r="C4" s="431"/>
      <c r="D4" s="86" t="s">
        <v>16</v>
      </c>
      <c r="E4" s="86" t="s">
        <v>90</v>
      </c>
    </row>
    <row r="5" spans="1:7" ht="27.75" customHeight="1">
      <c r="A5" s="432" t="s">
        <v>89</v>
      </c>
      <c r="B5" s="368" t="s">
        <v>88</v>
      </c>
      <c r="C5" s="131" t="s">
        <v>87</v>
      </c>
      <c r="D5" s="244"/>
      <c r="E5" s="117"/>
    </row>
    <row r="6" spans="1:7" ht="27.75" customHeight="1">
      <c r="A6" s="368"/>
      <c r="B6" s="368"/>
      <c r="C6" s="83" t="s">
        <v>86</v>
      </c>
      <c r="D6" s="245"/>
      <c r="E6" s="83"/>
    </row>
    <row r="7" spans="1:7" ht="27.75" customHeight="1">
      <c r="A7" s="368"/>
      <c r="B7" s="368"/>
      <c r="C7" s="83" t="s">
        <v>85</v>
      </c>
      <c r="D7" s="245"/>
      <c r="E7" s="83"/>
    </row>
    <row r="8" spans="1:7" ht="27.75" customHeight="1">
      <c r="A8" s="368"/>
      <c r="B8" s="368"/>
      <c r="C8" s="83" t="s">
        <v>75</v>
      </c>
      <c r="D8" s="245"/>
      <c r="E8" s="83"/>
    </row>
    <row r="9" spans="1:7" ht="27.75" customHeight="1">
      <c r="A9" s="368"/>
      <c r="B9" s="368" t="s">
        <v>84</v>
      </c>
      <c r="C9" s="83" t="s">
        <v>83</v>
      </c>
      <c r="D9" s="245"/>
      <c r="E9" s="83"/>
    </row>
    <row r="10" spans="1:7" ht="27.75" customHeight="1">
      <c r="A10" s="368"/>
      <c r="B10" s="368"/>
      <c r="C10" s="83" t="s">
        <v>82</v>
      </c>
      <c r="D10" s="245"/>
      <c r="E10" s="153" t="s">
        <v>145</v>
      </c>
    </row>
    <row r="11" spans="1:7" ht="27.75" customHeight="1">
      <c r="A11" s="368"/>
      <c r="B11" s="368"/>
      <c r="C11" s="83" t="s">
        <v>75</v>
      </c>
      <c r="D11" s="245"/>
      <c r="E11" s="83"/>
    </row>
    <row r="12" spans="1:7" ht="27.75" customHeight="1">
      <c r="A12" s="368"/>
      <c r="B12" s="377" t="s">
        <v>117</v>
      </c>
      <c r="C12" s="153" t="s">
        <v>146</v>
      </c>
      <c r="D12" s="246"/>
      <c r="E12" s="82" t="s">
        <v>147</v>
      </c>
    </row>
    <row r="13" spans="1:7" ht="27.75" customHeight="1">
      <c r="A13" s="368"/>
      <c r="B13" s="378"/>
      <c r="C13" s="83" t="s">
        <v>118</v>
      </c>
      <c r="D13" s="245"/>
      <c r="E13" s="83"/>
    </row>
    <row r="14" spans="1:7" ht="27.75" customHeight="1">
      <c r="A14" s="433" t="s">
        <v>43</v>
      </c>
      <c r="B14" s="370"/>
      <c r="C14" s="153" t="s">
        <v>149</v>
      </c>
      <c r="D14" s="245"/>
      <c r="E14" s="104"/>
      <c r="G14" s="84"/>
    </row>
    <row r="15" spans="1:7" ht="27.75" customHeight="1">
      <c r="A15" s="433" t="s">
        <v>74</v>
      </c>
      <c r="B15" s="370"/>
      <c r="C15" s="188" t="s">
        <v>150</v>
      </c>
      <c r="D15" s="247"/>
      <c r="E15" s="104"/>
    </row>
    <row r="16" spans="1:7" ht="27.75" customHeight="1">
      <c r="A16" s="433" t="s">
        <v>73</v>
      </c>
      <c r="B16" s="370"/>
      <c r="C16" s="83"/>
      <c r="D16" s="245"/>
      <c r="E16" s="166"/>
    </row>
    <row r="17" spans="1:5" ht="27.75" customHeight="1">
      <c r="A17" s="433" t="s">
        <v>97</v>
      </c>
      <c r="B17" s="370"/>
      <c r="C17" s="83"/>
      <c r="D17" s="245"/>
      <c r="E17" s="83" t="s">
        <v>72</v>
      </c>
    </row>
    <row r="18" spans="1:5" ht="27.75" customHeight="1">
      <c r="A18" s="433" t="s">
        <v>403</v>
      </c>
      <c r="B18" s="370"/>
      <c r="C18" s="83"/>
      <c r="D18" s="245"/>
      <c r="E18" s="83"/>
    </row>
  </sheetData>
  <mergeCells count="11">
    <mergeCell ref="A14:B14"/>
    <mergeCell ref="A15:B15"/>
    <mergeCell ref="A16:B16"/>
    <mergeCell ref="A17:B17"/>
    <mergeCell ref="A18:B18"/>
    <mergeCell ref="A1:E1"/>
    <mergeCell ref="A4:C4"/>
    <mergeCell ref="A5:A13"/>
    <mergeCell ref="B5:B8"/>
    <mergeCell ref="B9:B11"/>
    <mergeCell ref="B12:B13"/>
  </mergeCells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>
  <sheetPr>
    <pageSetUpPr fitToPage="1"/>
  </sheetPr>
  <dimension ref="A1:M21"/>
  <sheetViews>
    <sheetView view="pageBreakPreview" topLeftCell="C1" zoomScale="90" zoomScaleNormal="85" zoomScaleSheetLayoutView="90" workbookViewId="0">
      <selection activeCell="G18" sqref="G18"/>
    </sheetView>
  </sheetViews>
  <sheetFormatPr defaultColWidth="8.88671875" defaultRowHeight="13.5"/>
  <cols>
    <col min="1" max="1" width="3.44140625" style="7" customWidth="1"/>
    <col min="2" max="2" width="20.21875" style="1" customWidth="1"/>
    <col min="3" max="3" width="20.5546875" style="3" customWidth="1"/>
    <col min="4" max="4" width="5.6640625" style="1" bestFit="1" customWidth="1"/>
    <col min="5" max="5" width="10.109375" style="1" customWidth="1"/>
    <col min="6" max="6" width="11.77734375" style="1" customWidth="1"/>
    <col min="7" max="7" width="12.77734375" style="1" customWidth="1"/>
    <col min="8" max="8" width="11.77734375" style="1" customWidth="1"/>
    <col min="9" max="9" width="12.77734375" style="1" customWidth="1"/>
    <col min="10" max="10" width="11.77734375" style="1" customWidth="1"/>
    <col min="11" max="11" width="12.77734375" style="5" customWidth="1"/>
    <col min="12" max="12" width="12.77734375" style="7" customWidth="1"/>
    <col min="13" max="13" width="8.88671875" style="7" customWidth="1"/>
    <col min="14" max="14" width="8.88671875" style="7"/>
    <col min="15" max="15" width="31.6640625" style="7" customWidth="1"/>
    <col min="16" max="16" width="9.44140625" style="7" customWidth="1"/>
    <col min="17" max="18" width="6.77734375" style="7" customWidth="1"/>
    <col min="19" max="19" width="8.109375" style="7" customWidth="1"/>
    <col min="20" max="16384" width="8.88671875" style="7"/>
  </cols>
  <sheetData>
    <row r="1" spans="1:13" ht="42" customHeight="1">
      <c r="A1" s="390" t="s">
        <v>45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</row>
    <row r="2" spans="1:13" s="10" customFormat="1" ht="27" customHeight="1" thickBot="1">
      <c r="A2" s="71" t="str">
        <f>'설치일위대가 목록'!A3:H3</f>
        <v>건명 : 방화터널 전기실 저압반 구매설치</v>
      </c>
      <c r="B2" s="72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3" spans="1:13" s="10" customFormat="1" ht="32.25" customHeight="1">
      <c r="A3" s="392" t="s">
        <v>20</v>
      </c>
      <c r="B3" s="393"/>
      <c r="C3" s="398" t="s">
        <v>26</v>
      </c>
      <c r="D3" s="400" t="s">
        <v>27</v>
      </c>
      <c r="E3" s="402" t="s">
        <v>4</v>
      </c>
      <c r="F3" s="404" t="s">
        <v>1</v>
      </c>
      <c r="G3" s="404"/>
      <c r="H3" s="404" t="s">
        <v>2</v>
      </c>
      <c r="I3" s="404"/>
      <c r="J3" s="404" t="s">
        <v>21</v>
      </c>
      <c r="K3" s="404"/>
      <c r="L3" s="120" t="s">
        <v>22</v>
      </c>
      <c r="M3" s="396" t="s">
        <v>23</v>
      </c>
    </row>
    <row r="4" spans="1:13" s="10" customFormat="1" ht="32.25" customHeight="1" thickBot="1">
      <c r="A4" s="394"/>
      <c r="B4" s="395"/>
      <c r="C4" s="399"/>
      <c r="D4" s="401"/>
      <c r="E4" s="403"/>
      <c r="F4" s="95" t="s">
        <v>24</v>
      </c>
      <c r="G4" s="95" t="s">
        <v>25</v>
      </c>
      <c r="H4" s="95" t="s">
        <v>24</v>
      </c>
      <c r="I4" s="95" t="s">
        <v>25</v>
      </c>
      <c r="J4" s="95" t="s">
        <v>24</v>
      </c>
      <c r="K4" s="95" t="s">
        <v>25</v>
      </c>
      <c r="L4" s="95" t="s">
        <v>18</v>
      </c>
      <c r="M4" s="397"/>
    </row>
    <row r="5" spans="1:13" s="10" customFormat="1" ht="32.25" customHeight="1">
      <c r="A5" s="434" t="s">
        <v>367</v>
      </c>
      <c r="B5" s="435"/>
      <c r="C5" s="90"/>
      <c r="D5" s="91"/>
      <c r="E5" s="92"/>
      <c r="F5" s="93"/>
      <c r="G5" s="93"/>
      <c r="H5" s="93"/>
      <c r="I5" s="93"/>
      <c r="J5" s="93"/>
      <c r="K5" s="93"/>
      <c r="L5" s="93"/>
      <c r="M5" s="94"/>
    </row>
    <row r="6" spans="1:13" s="10" customFormat="1" ht="24.95" customHeight="1">
      <c r="A6" s="388" t="s">
        <v>368</v>
      </c>
      <c r="B6" s="389"/>
      <c r="C6" s="151" t="s">
        <v>385</v>
      </c>
      <c r="D6" s="59" t="s">
        <v>59</v>
      </c>
      <c r="E6" s="96">
        <v>1</v>
      </c>
      <c r="F6" s="60"/>
      <c r="G6" s="137"/>
      <c r="H6" s="60"/>
      <c r="I6" s="137"/>
      <c r="J6" s="60"/>
      <c r="K6" s="60"/>
      <c r="L6" s="137"/>
      <c r="M6" s="81"/>
    </row>
    <row r="7" spans="1:13" s="10" customFormat="1" ht="24.95" customHeight="1">
      <c r="A7" s="388" t="s">
        <v>369</v>
      </c>
      <c r="B7" s="389"/>
      <c r="C7" s="151" t="s">
        <v>371</v>
      </c>
      <c r="D7" s="59" t="s">
        <v>59</v>
      </c>
      <c r="E7" s="96">
        <v>1</v>
      </c>
      <c r="F7" s="60"/>
      <c r="G7" s="137"/>
      <c r="H7" s="60"/>
      <c r="I7" s="137"/>
      <c r="J7" s="60"/>
      <c r="K7" s="60"/>
      <c r="L7" s="137"/>
      <c r="M7" s="81"/>
    </row>
    <row r="8" spans="1:13" s="10" customFormat="1" ht="24.95" customHeight="1">
      <c r="A8" s="388" t="s">
        <v>370</v>
      </c>
      <c r="B8" s="389"/>
      <c r="C8" s="151" t="s">
        <v>372</v>
      </c>
      <c r="D8" s="136" t="s">
        <v>59</v>
      </c>
      <c r="E8" s="140">
        <v>1</v>
      </c>
      <c r="F8" s="137"/>
      <c r="G8" s="137"/>
      <c r="H8" s="137"/>
      <c r="I8" s="137"/>
      <c r="J8" s="137"/>
      <c r="K8" s="137"/>
      <c r="L8" s="137"/>
      <c r="M8" s="138"/>
    </row>
    <row r="9" spans="1:13" s="10" customFormat="1" ht="24.95" customHeight="1">
      <c r="A9" s="388"/>
      <c r="B9" s="389"/>
      <c r="C9" s="141"/>
      <c r="D9" s="136"/>
      <c r="E9" s="140"/>
      <c r="F9" s="142"/>
      <c r="G9" s="137"/>
      <c r="H9" s="142"/>
      <c r="I9" s="137"/>
      <c r="J9" s="142"/>
      <c r="K9" s="142"/>
      <c r="L9" s="137"/>
      <c r="M9" s="134"/>
    </row>
    <row r="10" spans="1:13" s="10" customFormat="1" ht="24.95" customHeight="1">
      <c r="A10" s="388"/>
      <c r="B10" s="389"/>
      <c r="C10" s="129"/>
      <c r="D10" s="136"/>
      <c r="E10" s="140"/>
      <c r="F10" s="130"/>
      <c r="G10" s="137"/>
      <c r="H10" s="130"/>
      <c r="I10" s="137"/>
      <c r="J10" s="130"/>
      <c r="K10" s="130"/>
      <c r="L10" s="137"/>
      <c r="M10" s="134"/>
    </row>
    <row r="11" spans="1:13" s="10" customFormat="1" ht="24.95" customHeight="1">
      <c r="A11" s="388"/>
      <c r="B11" s="389"/>
      <c r="C11" s="129"/>
      <c r="D11" s="136"/>
      <c r="E11" s="140"/>
      <c r="F11" s="130"/>
      <c r="G11" s="137"/>
      <c r="H11" s="130"/>
      <c r="I11" s="137"/>
      <c r="J11" s="130"/>
      <c r="K11" s="130"/>
      <c r="L11" s="137"/>
      <c r="M11" s="134"/>
    </row>
    <row r="12" spans="1:13" s="10" customFormat="1" ht="24.95" customHeight="1">
      <c r="A12" s="436"/>
      <c r="B12" s="389"/>
      <c r="C12" s="156"/>
      <c r="D12" s="132"/>
      <c r="E12" s="133"/>
      <c r="F12" s="142"/>
      <c r="G12" s="137"/>
      <c r="H12" s="142"/>
      <c r="I12" s="137"/>
      <c r="J12" s="142"/>
      <c r="K12" s="142"/>
      <c r="L12" s="137"/>
      <c r="M12" s="145"/>
    </row>
    <row r="13" spans="1:13" s="10" customFormat="1" ht="24.95" customHeight="1">
      <c r="A13" s="388"/>
      <c r="B13" s="389"/>
      <c r="C13" s="141"/>
      <c r="D13" s="132"/>
      <c r="E13" s="133"/>
      <c r="F13" s="142"/>
      <c r="G13" s="142"/>
      <c r="H13" s="142"/>
      <c r="I13" s="142"/>
      <c r="J13" s="142"/>
      <c r="K13" s="142"/>
      <c r="L13" s="142"/>
      <c r="M13" s="134"/>
    </row>
    <row r="14" spans="1:13" s="10" customFormat="1" ht="24.95" customHeight="1">
      <c r="A14" s="388"/>
      <c r="B14" s="389"/>
      <c r="C14" s="129"/>
      <c r="D14" s="132"/>
      <c r="E14" s="133"/>
      <c r="F14" s="130"/>
      <c r="G14" s="130"/>
      <c r="H14" s="130"/>
      <c r="I14" s="130"/>
      <c r="J14" s="130"/>
      <c r="K14" s="130"/>
      <c r="L14" s="130"/>
      <c r="M14" s="134"/>
    </row>
    <row r="15" spans="1:13" s="10" customFormat="1" ht="24.95" customHeight="1">
      <c r="A15" s="388"/>
      <c r="B15" s="389"/>
      <c r="C15" s="129"/>
      <c r="D15" s="132"/>
      <c r="E15" s="133"/>
      <c r="F15" s="130"/>
      <c r="G15" s="130"/>
      <c r="H15" s="130"/>
      <c r="I15" s="130"/>
      <c r="J15" s="130"/>
      <c r="K15" s="130"/>
      <c r="L15" s="130"/>
      <c r="M15" s="134"/>
    </row>
    <row r="16" spans="1:13" s="21" customFormat="1" ht="38.25" customHeight="1" thickBot="1">
      <c r="A16" s="386" t="s">
        <v>116</v>
      </c>
      <c r="B16" s="387"/>
      <c r="C16" s="105"/>
      <c r="D16" s="106"/>
      <c r="E16" s="107"/>
      <c r="F16" s="108"/>
      <c r="G16" s="109"/>
      <c r="H16" s="109"/>
      <c r="I16" s="109"/>
      <c r="J16" s="109"/>
      <c r="K16" s="109"/>
      <c r="L16" s="109"/>
      <c r="M16" s="110"/>
    </row>
    <row r="17" spans="2:13" s="10" customFormat="1" ht="24.95" customHeight="1">
      <c r="B17" s="16"/>
      <c r="C17" s="17"/>
      <c r="D17" s="11"/>
      <c r="E17" s="12"/>
      <c r="F17" s="13"/>
      <c r="G17" s="14"/>
      <c r="H17" s="14"/>
      <c r="I17" s="14"/>
      <c r="J17" s="14"/>
      <c r="K17" s="14"/>
      <c r="L17" s="14"/>
      <c r="M17" s="15"/>
    </row>
    <row r="18" spans="2:13" s="10" customFormat="1" ht="24.95" customHeight="1">
      <c r="B18" s="16"/>
      <c r="C18" s="17"/>
      <c r="D18" s="11"/>
      <c r="E18" s="12"/>
      <c r="F18" s="13"/>
      <c r="G18" s="14"/>
      <c r="H18" s="14"/>
      <c r="I18" s="14"/>
      <c r="J18" s="14"/>
      <c r="K18" s="14"/>
      <c r="L18" s="14"/>
      <c r="M18" s="15"/>
    </row>
    <row r="19" spans="2:13" s="10" customFormat="1" ht="24.95" customHeight="1">
      <c r="B19" s="16"/>
      <c r="C19" s="17"/>
      <c r="D19" s="11"/>
      <c r="E19" s="12"/>
      <c r="F19" s="13"/>
      <c r="G19" s="14"/>
      <c r="H19" s="14"/>
      <c r="I19" s="14"/>
      <c r="J19" s="14"/>
      <c r="K19" s="14"/>
      <c r="L19" s="14"/>
      <c r="M19" s="15"/>
    </row>
    <row r="20" spans="2:13" s="10" customFormat="1" ht="24.95" customHeight="1">
      <c r="B20" s="16"/>
      <c r="C20" s="17"/>
      <c r="D20" s="11"/>
      <c r="E20" s="12"/>
      <c r="F20" s="13"/>
      <c r="G20" s="14"/>
      <c r="H20" s="14"/>
      <c r="I20" s="14"/>
      <c r="J20" s="14"/>
      <c r="K20" s="14"/>
      <c r="L20" s="14"/>
      <c r="M20" s="15"/>
    </row>
    <row r="21" spans="2:13" s="10" customFormat="1" ht="24.95" customHeight="1">
      <c r="B21" s="16"/>
      <c r="D21" s="11"/>
      <c r="E21" s="12"/>
      <c r="F21" s="13"/>
      <c r="G21" s="14"/>
      <c r="H21" s="14"/>
      <c r="I21" s="14"/>
      <c r="J21" s="14"/>
      <c r="K21" s="14"/>
      <c r="L21" s="14"/>
      <c r="M21" s="15"/>
    </row>
  </sheetData>
  <mergeCells count="21">
    <mergeCell ref="F3:G3"/>
    <mergeCell ref="H3:I3"/>
    <mergeCell ref="A14:B14"/>
    <mergeCell ref="A1:M1"/>
    <mergeCell ref="A3:B4"/>
    <mergeCell ref="C3:C4"/>
    <mergeCell ref="D3:D4"/>
    <mergeCell ref="E3:E4"/>
    <mergeCell ref="J3:K3"/>
    <mergeCell ref="M3:M4"/>
    <mergeCell ref="A8:B8"/>
    <mergeCell ref="A15:B15"/>
    <mergeCell ref="A16:B16"/>
    <mergeCell ref="A5:B5"/>
    <mergeCell ref="A6:B6"/>
    <mergeCell ref="A7:B7"/>
    <mergeCell ref="A12:B12"/>
    <mergeCell ref="A11:B11"/>
    <mergeCell ref="A13:B13"/>
    <mergeCell ref="A9:B9"/>
    <mergeCell ref="A10:B10"/>
  </mergeCells>
  <phoneticPr fontId="2" type="noConversion"/>
  <printOptions horizontalCentered="1"/>
  <pageMargins left="0.43307086614173229" right="0.31496062992125984" top="0.78740157480314965" bottom="0.51181102362204722" header="0.78740157480314965" footer="0.51181102362204722"/>
  <pageSetup paperSize="9"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dimension ref="A1:R180"/>
  <sheetViews>
    <sheetView view="pageBreakPreview" topLeftCell="E1" zoomScaleNormal="100" zoomScaleSheetLayoutView="100" workbookViewId="0">
      <selection activeCell="I14" sqref="I14"/>
    </sheetView>
  </sheetViews>
  <sheetFormatPr defaultRowHeight="23.1" customHeight="1"/>
  <cols>
    <col min="1" max="1" width="15.33203125" style="219" hidden="1" customWidth="1"/>
    <col min="2" max="2" width="18.88671875" style="218" hidden="1" customWidth="1"/>
    <col min="3" max="3" width="20.77734375" style="218" hidden="1" customWidth="1"/>
    <col min="4" max="4" width="25" style="218" customWidth="1"/>
    <col min="5" max="5" width="22.5546875" style="218" customWidth="1"/>
    <col min="6" max="6" width="5.21875" style="241" customWidth="1"/>
    <col min="7" max="7" width="7.77734375" style="265" customWidth="1"/>
    <col min="8" max="8" width="11.5546875" style="233" customWidth="1"/>
    <col min="9" max="9" width="11.77734375" style="233" customWidth="1"/>
    <col min="10" max="10" width="9.109375" style="233" hidden="1" customWidth="1"/>
    <col min="11" max="16" width="8.88671875" style="158"/>
    <col min="17" max="17" width="15.6640625" style="219" customWidth="1"/>
    <col min="18" max="18" width="8.88671875" style="219" customWidth="1"/>
    <col min="19" max="19" width="8.88671875" style="219"/>
    <col min="20" max="20" width="11.21875" style="219" bestFit="1" customWidth="1"/>
    <col min="21" max="16384" width="8.88671875" style="219"/>
  </cols>
  <sheetData>
    <row r="1" spans="1:18" s="7" customFormat="1" ht="42" customHeight="1">
      <c r="A1" s="255" t="s">
        <v>45</v>
      </c>
      <c r="B1" s="256"/>
      <c r="C1" s="256"/>
      <c r="D1" s="391" t="s">
        <v>401</v>
      </c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</row>
    <row r="2" spans="1:18" ht="23.1" customHeight="1">
      <c r="A2" s="219" t="s">
        <v>334</v>
      </c>
      <c r="B2" s="218" t="s">
        <v>335</v>
      </c>
      <c r="D2" s="230" t="s">
        <v>336</v>
      </c>
      <c r="E2" s="231"/>
      <c r="F2" s="231"/>
      <c r="G2" s="261"/>
      <c r="H2" s="232"/>
      <c r="I2" s="232"/>
      <c r="J2" s="232"/>
      <c r="K2" s="232"/>
      <c r="L2" s="232"/>
      <c r="M2" s="232"/>
      <c r="N2" s="232"/>
      <c r="O2" s="232"/>
      <c r="P2" s="232"/>
    </row>
    <row r="3" spans="1:18" s="234" customFormat="1" ht="23.1" customHeight="1">
      <c r="A3" s="234" t="s">
        <v>173</v>
      </c>
      <c r="B3" s="220" t="s">
        <v>174</v>
      </c>
      <c r="C3" s="235" t="s">
        <v>175</v>
      </c>
      <c r="D3" s="440" t="s">
        <v>176</v>
      </c>
      <c r="E3" s="440" t="s">
        <v>177</v>
      </c>
      <c r="F3" s="442" t="s">
        <v>178</v>
      </c>
      <c r="G3" s="444" t="s">
        <v>4</v>
      </c>
      <c r="H3" s="446" t="s">
        <v>1</v>
      </c>
      <c r="I3" s="447"/>
      <c r="J3" s="236" t="s">
        <v>337</v>
      </c>
      <c r="K3" s="437" t="s">
        <v>108</v>
      </c>
      <c r="L3" s="438"/>
      <c r="M3" s="438"/>
      <c r="N3" s="439" t="s">
        <v>113</v>
      </c>
      <c r="O3" s="439"/>
      <c r="P3" s="439"/>
      <c r="Q3" s="234" t="s">
        <v>172</v>
      </c>
    </row>
    <row r="4" spans="1:18" s="234" customFormat="1" ht="23.1" customHeight="1">
      <c r="B4" s="220"/>
      <c r="C4" s="235"/>
      <c r="D4" s="441"/>
      <c r="E4" s="441"/>
      <c r="F4" s="443"/>
      <c r="G4" s="445"/>
      <c r="H4" s="236" t="s">
        <v>338</v>
      </c>
      <c r="I4" s="236" t="s">
        <v>339</v>
      </c>
      <c r="J4" s="236" t="s">
        <v>4</v>
      </c>
      <c r="K4" s="159" t="s">
        <v>374</v>
      </c>
      <c r="L4" s="242" t="s">
        <v>377</v>
      </c>
      <c r="M4" s="159" t="s">
        <v>378</v>
      </c>
      <c r="N4" s="159" t="s">
        <v>374</v>
      </c>
      <c r="O4" s="242" t="s">
        <v>377</v>
      </c>
      <c r="P4" s="159" t="s">
        <v>378</v>
      </c>
    </row>
    <row r="5" spans="1:18" ht="23.1" customHeight="1">
      <c r="B5" s="218" t="s">
        <v>340</v>
      </c>
      <c r="D5" s="237" t="s">
        <v>341</v>
      </c>
      <c r="E5" s="238"/>
      <c r="F5" s="238"/>
      <c r="G5" s="262"/>
      <c r="H5" s="239"/>
      <c r="I5" s="239"/>
      <c r="J5" s="239"/>
      <c r="K5" s="157"/>
      <c r="L5" s="157"/>
      <c r="M5" s="157"/>
      <c r="N5" s="147"/>
      <c r="O5" s="147"/>
      <c r="P5" s="147"/>
    </row>
    <row r="6" spans="1:18" ht="22.5" customHeight="1">
      <c r="D6" s="227" t="s">
        <v>342</v>
      </c>
      <c r="E6" s="227"/>
      <c r="F6" s="240"/>
      <c r="G6" s="263"/>
      <c r="H6" s="223"/>
      <c r="I6" s="224"/>
      <c r="J6" s="223" t="e">
        <v>#REF!</v>
      </c>
      <c r="K6" s="157"/>
      <c r="L6" s="157"/>
      <c r="M6" s="157"/>
      <c r="N6" s="147"/>
      <c r="O6" s="147"/>
      <c r="P6" s="147"/>
    </row>
    <row r="7" spans="1:18" ht="23.1" customHeight="1">
      <c r="A7" s="219">
        <v>56959000389</v>
      </c>
      <c r="B7" s="218" t="s">
        <v>343</v>
      </c>
      <c r="C7" s="218" t="s">
        <v>344</v>
      </c>
      <c r="D7" s="227" t="s">
        <v>179</v>
      </c>
      <c r="E7" s="227" t="s">
        <v>180</v>
      </c>
      <c r="F7" s="240" t="s">
        <v>59</v>
      </c>
      <c r="G7" s="263">
        <v>1</v>
      </c>
      <c r="H7" s="147"/>
      <c r="I7" s="224"/>
      <c r="J7" s="223" t="e">
        <v>#REF!</v>
      </c>
      <c r="K7" s="213">
        <v>0</v>
      </c>
      <c r="L7" s="213">
        <v>0</v>
      </c>
      <c r="M7" s="213">
        <v>0</v>
      </c>
      <c r="N7" s="213">
        <v>0</v>
      </c>
      <c r="O7" s="213">
        <v>0</v>
      </c>
      <c r="P7" s="213">
        <v>0</v>
      </c>
      <c r="R7" s="146" t="str">
        <f>CONCATENATE(D7,E7)</f>
        <v>외함800Wx2850Hx2500D</v>
      </c>
    </row>
    <row r="8" spans="1:18" ht="23.1" customHeight="1">
      <c r="A8" s="219">
        <v>56959000390</v>
      </c>
      <c r="B8" s="218" t="s">
        <v>343</v>
      </c>
      <c r="C8" s="218" t="s">
        <v>345</v>
      </c>
      <c r="D8" s="227" t="s">
        <v>181</v>
      </c>
      <c r="E8" s="227" t="s">
        <v>182</v>
      </c>
      <c r="F8" s="240" t="s">
        <v>183</v>
      </c>
      <c r="G8" s="263">
        <v>1</v>
      </c>
      <c r="H8" s="147"/>
      <c r="I8" s="224"/>
      <c r="J8" s="223" t="e">
        <v>#REF!</v>
      </c>
      <c r="K8" s="213">
        <v>0.33</v>
      </c>
      <c r="L8" s="213">
        <v>0</v>
      </c>
      <c r="M8" s="213">
        <v>0</v>
      </c>
      <c r="N8" s="213">
        <v>0.33</v>
      </c>
      <c r="O8" s="213">
        <v>0</v>
      </c>
      <c r="P8" s="213">
        <v>0</v>
      </c>
      <c r="R8" s="146" t="str">
        <f t="shared" ref="R8:R71" si="0">CONCATENATE(D8,E8)</f>
        <v>소공간자동소화장치4kg</v>
      </c>
    </row>
    <row r="9" spans="1:18" ht="23.1" customHeight="1">
      <c r="A9" s="219">
        <v>56959000391</v>
      </c>
      <c r="B9" s="218" t="s">
        <v>343</v>
      </c>
      <c r="C9" s="218" t="s">
        <v>346</v>
      </c>
      <c r="D9" s="227" t="s">
        <v>184</v>
      </c>
      <c r="E9" s="227" t="s">
        <v>185</v>
      </c>
      <c r="F9" s="240" t="s">
        <v>186</v>
      </c>
      <c r="G9" s="263">
        <v>2</v>
      </c>
      <c r="H9" s="147"/>
      <c r="I9" s="224"/>
      <c r="J9" s="223" t="e">
        <v>#REF!</v>
      </c>
      <c r="K9" s="213">
        <v>0</v>
      </c>
      <c r="L9" s="213">
        <v>0</v>
      </c>
      <c r="M9" s="213">
        <v>0</v>
      </c>
      <c r="N9" s="213">
        <v>0</v>
      </c>
      <c r="O9" s="213">
        <v>0</v>
      </c>
      <c r="P9" s="213">
        <v>0</v>
      </c>
      <c r="R9" s="146" t="str">
        <f t="shared" si="0"/>
        <v>DOOR HANDLEW/KEY (L)</v>
      </c>
    </row>
    <row r="10" spans="1:18" ht="23.1" customHeight="1">
      <c r="A10" s="219">
        <v>56959000392</v>
      </c>
      <c r="B10" s="218" t="s">
        <v>343</v>
      </c>
      <c r="C10" s="218" t="s">
        <v>347</v>
      </c>
      <c r="D10" s="227" t="s">
        <v>104</v>
      </c>
      <c r="E10" s="227"/>
      <c r="F10" s="240" t="s">
        <v>186</v>
      </c>
      <c r="G10" s="263">
        <v>2</v>
      </c>
      <c r="H10" s="147"/>
      <c r="I10" s="224"/>
      <c r="J10" s="223" t="e">
        <v>#REF!</v>
      </c>
      <c r="K10" s="213">
        <v>0</v>
      </c>
      <c r="L10" s="213">
        <v>0</v>
      </c>
      <c r="M10" s="213">
        <v>0</v>
      </c>
      <c r="N10" s="213">
        <v>0</v>
      </c>
      <c r="O10" s="213">
        <v>0</v>
      </c>
      <c r="P10" s="213">
        <v>0</v>
      </c>
      <c r="R10" s="146" t="str">
        <f t="shared" si="0"/>
        <v>DOOR STOPPER</v>
      </c>
    </row>
    <row r="11" spans="1:18" ht="23.1" customHeight="1">
      <c r="A11" s="219">
        <v>56959000395</v>
      </c>
      <c r="B11" s="218" t="s">
        <v>343</v>
      </c>
      <c r="C11" s="218" t="s">
        <v>348</v>
      </c>
      <c r="D11" s="227" t="s">
        <v>99</v>
      </c>
      <c r="E11" s="227" t="s">
        <v>187</v>
      </c>
      <c r="F11" s="240" t="s">
        <v>186</v>
      </c>
      <c r="G11" s="263">
        <v>2</v>
      </c>
      <c r="H11" s="147"/>
      <c r="I11" s="224"/>
      <c r="J11" s="223" t="e">
        <v>#REF!</v>
      </c>
      <c r="K11" s="213">
        <v>0</v>
      </c>
      <c r="L11" s="213">
        <v>0</v>
      </c>
      <c r="M11" s="213">
        <v>0</v>
      </c>
      <c r="N11" s="213">
        <v>0</v>
      </c>
      <c r="O11" s="213">
        <v>0</v>
      </c>
      <c r="P11" s="213">
        <v>0</v>
      </c>
      <c r="R11" s="146" t="str">
        <f t="shared" si="0"/>
        <v>NAME PLATE아크릴(L)</v>
      </c>
    </row>
    <row r="12" spans="1:18" ht="23.1" customHeight="1">
      <c r="A12" s="219">
        <v>56959000396</v>
      </c>
      <c r="B12" s="218" t="s">
        <v>343</v>
      </c>
      <c r="C12" s="218" t="s">
        <v>349</v>
      </c>
      <c r="D12" s="227" t="s">
        <v>188</v>
      </c>
      <c r="E12" s="227" t="s">
        <v>189</v>
      </c>
      <c r="F12" s="240" t="s">
        <v>186</v>
      </c>
      <c r="G12" s="263">
        <v>2</v>
      </c>
      <c r="H12" s="147"/>
      <c r="I12" s="224"/>
      <c r="J12" s="223" t="e">
        <v>#REF!</v>
      </c>
      <c r="K12" s="213">
        <v>0.18</v>
      </c>
      <c r="L12" s="213">
        <v>0</v>
      </c>
      <c r="M12" s="213">
        <v>0</v>
      </c>
      <c r="N12" s="213">
        <v>0.36</v>
      </c>
      <c r="O12" s="213">
        <v>0</v>
      </c>
      <c r="P12" s="213">
        <v>0</v>
      </c>
      <c r="R12" s="146" t="str">
        <f t="shared" si="0"/>
        <v>M C C B2P 220V 50AF 10kA</v>
      </c>
    </row>
    <row r="13" spans="1:18" ht="23.1" customHeight="1">
      <c r="A13" s="219">
        <v>56959000397</v>
      </c>
      <c r="B13" s="218" t="s">
        <v>343</v>
      </c>
      <c r="C13" s="218" t="s">
        <v>350</v>
      </c>
      <c r="D13" s="227" t="s">
        <v>190</v>
      </c>
      <c r="E13" s="227" t="s">
        <v>191</v>
      </c>
      <c r="F13" s="240" t="s">
        <v>186</v>
      </c>
      <c r="G13" s="263">
        <v>3</v>
      </c>
      <c r="H13" s="147"/>
      <c r="I13" s="224"/>
      <c r="J13" s="223" t="e">
        <v>#REF!</v>
      </c>
      <c r="K13" s="213">
        <v>0</v>
      </c>
      <c r="L13" s="213">
        <v>0</v>
      </c>
      <c r="M13" s="213">
        <v>0</v>
      </c>
      <c r="N13" s="213">
        <v>0</v>
      </c>
      <c r="O13" s="213">
        <v>0</v>
      </c>
      <c r="P13" s="213">
        <v>0</v>
      </c>
      <c r="R13" s="146" t="str">
        <f t="shared" si="0"/>
        <v>DIAZED FUSE25A 이하 W/HOLDER</v>
      </c>
    </row>
    <row r="14" spans="1:18" ht="23.1" customHeight="1">
      <c r="A14" s="219">
        <v>56959000398</v>
      </c>
      <c r="B14" s="218" t="s">
        <v>343</v>
      </c>
      <c r="C14" s="218" t="s">
        <v>351</v>
      </c>
      <c r="D14" s="227" t="s">
        <v>192</v>
      </c>
      <c r="E14" s="227" t="s">
        <v>193</v>
      </c>
      <c r="F14" s="240" t="s">
        <v>186</v>
      </c>
      <c r="G14" s="263">
        <v>2</v>
      </c>
      <c r="H14" s="147"/>
      <c r="I14" s="224"/>
      <c r="J14" s="223" t="e">
        <v>#REF!</v>
      </c>
      <c r="K14" s="213">
        <v>0.14000000000000001</v>
      </c>
      <c r="L14" s="213">
        <v>0</v>
      </c>
      <c r="M14" s="213">
        <v>0</v>
      </c>
      <c r="N14" s="213">
        <v>0.28000000000000003</v>
      </c>
      <c r="O14" s="213">
        <v>0</v>
      </c>
      <c r="P14" s="213">
        <v>0</v>
      </c>
      <c r="R14" s="146" t="str">
        <f t="shared" si="0"/>
        <v>F LAC 220V 20W</v>
      </c>
    </row>
    <row r="15" spans="1:18" ht="23.1" customHeight="1">
      <c r="A15" s="219">
        <v>56959000418</v>
      </c>
      <c r="B15" s="218" t="s">
        <v>343</v>
      </c>
      <c r="C15" s="218" t="s">
        <v>352</v>
      </c>
      <c r="D15" s="227" t="s">
        <v>194</v>
      </c>
      <c r="E15" s="227" t="s">
        <v>195</v>
      </c>
      <c r="F15" s="240" t="s">
        <v>186</v>
      </c>
      <c r="G15" s="263">
        <v>2</v>
      </c>
      <c r="H15" s="147"/>
      <c r="I15" s="224"/>
      <c r="J15" s="223" t="e">
        <v>#REF!</v>
      </c>
      <c r="K15" s="213">
        <v>0.1</v>
      </c>
      <c r="L15" s="213">
        <v>0</v>
      </c>
      <c r="M15" s="213">
        <v>0</v>
      </c>
      <c r="N15" s="213">
        <v>0.2</v>
      </c>
      <c r="O15" s="213">
        <v>0</v>
      </c>
      <c r="P15" s="213">
        <v>0</v>
      </c>
      <c r="R15" s="146" t="str">
        <f t="shared" si="0"/>
        <v>LIMIT S/WAC 220V 1a 1b</v>
      </c>
    </row>
    <row r="16" spans="1:18" ht="23.1" customHeight="1">
      <c r="D16" s="227" t="s">
        <v>102</v>
      </c>
      <c r="E16" s="227" t="s">
        <v>196</v>
      </c>
      <c r="F16" s="240" t="s">
        <v>186</v>
      </c>
      <c r="G16" s="263">
        <v>1</v>
      </c>
      <c r="H16" s="147"/>
      <c r="I16" s="224"/>
      <c r="J16" s="223" t="e">
        <v>#REF!</v>
      </c>
      <c r="K16" s="213">
        <v>0.4</v>
      </c>
      <c r="L16" s="213">
        <v>0</v>
      </c>
      <c r="M16" s="213">
        <v>0</v>
      </c>
      <c r="N16" s="213">
        <v>0.4</v>
      </c>
      <c r="O16" s="213">
        <v>0</v>
      </c>
      <c r="P16" s="213">
        <v>0</v>
      </c>
      <c r="R16" s="146" t="str">
        <f t="shared" si="0"/>
        <v>SPACE HEATERAC 220V 100W</v>
      </c>
    </row>
    <row r="17" spans="1:18" ht="23.1" customHeight="1">
      <c r="D17" s="227" t="s">
        <v>197</v>
      </c>
      <c r="E17" s="227" t="s">
        <v>198</v>
      </c>
      <c r="F17" s="240" t="s">
        <v>186</v>
      </c>
      <c r="G17" s="263">
        <v>1</v>
      </c>
      <c r="H17" s="147"/>
      <c r="I17" s="224"/>
      <c r="J17" s="223" t="e">
        <v>#REF!</v>
      </c>
      <c r="K17" s="213">
        <v>0.2</v>
      </c>
      <c r="L17" s="213">
        <v>0</v>
      </c>
      <c r="M17" s="213">
        <v>0</v>
      </c>
      <c r="N17" s="213">
        <v>0.2</v>
      </c>
      <c r="O17" s="213">
        <v>0</v>
      </c>
      <c r="P17" s="213">
        <v>0</v>
      </c>
      <c r="R17" s="146" t="str">
        <f t="shared" si="0"/>
        <v>THERMOSTAT250V 0-250℃</v>
      </c>
    </row>
    <row r="18" spans="1:18" ht="23.1" customHeight="1">
      <c r="D18" s="227" t="s">
        <v>199</v>
      </c>
      <c r="E18" s="227" t="s">
        <v>200</v>
      </c>
      <c r="F18" s="240" t="s">
        <v>186</v>
      </c>
      <c r="G18" s="263">
        <v>1</v>
      </c>
      <c r="H18" s="147"/>
      <c r="I18" s="224"/>
      <c r="J18" s="223" t="e">
        <v>#REF!</v>
      </c>
      <c r="K18" s="213">
        <v>0.08</v>
      </c>
      <c r="L18" s="213">
        <v>0</v>
      </c>
      <c r="M18" s="213">
        <v>0</v>
      </c>
      <c r="N18" s="213">
        <v>0.08</v>
      </c>
      <c r="O18" s="213">
        <v>0</v>
      </c>
      <c r="P18" s="213">
        <v>0</v>
      </c>
      <c r="R18" s="146" t="str">
        <f t="shared" si="0"/>
        <v>CONSENT2P AC 220V 15A</v>
      </c>
    </row>
    <row r="19" spans="1:18" ht="23.1" customHeight="1">
      <c r="D19" s="227" t="s">
        <v>201</v>
      </c>
      <c r="E19" s="227" t="s">
        <v>202</v>
      </c>
      <c r="F19" s="240" t="s">
        <v>203</v>
      </c>
      <c r="G19" s="263">
        <v>21.44</v>
      </c>
      <c r="H19" s="147"/>
      <c r="I19" s="224"/>
      <c r="J19" s="223" t="e">
        <v>#REF!</v>
      </c>
      <c r="K19" s="213">
        <v>0.1</v>
      </c>
      <c r="L19" s="213">
        <v>0</v>
      </c>
      <c r="M19" s="213">
        <v>0.08</v>
      </c>
      <c r="N19" s="213">
        <v>2.1440000000000001</v>
      </c>
      <c r="O19" s="213">
        <v>0</v>
      </c>
      <c r="P19" s="213">
        <v>1.7152000000000001</v>
      </c>
      <c r="R19" s="146" t="str">
        <f t="shared" si="0"/>
        <v>MAIN BUS BAR6.0 mm x 50 mm</v>
      </c>
    </row>
    <row r="20" spans="1:18" ht="23.1" customHeight="1">
      <c r="D20" s="227" t="s">
        <v>204</v>
      </c>
      <c r="E20" s="227" t="s">
        <v>205</v>
      </c>
      <c r="F20" s="240" t="s">
        <v>203</v>
      </c>
      <c r="G20" s="263">
        <v>21.44</v>
      </c>
      <c r="H20" s="147"/>
      <c r="I20" s="224"/>
      <c r="J20" s="223" t="e">
        <v>#REF!</v>
      </c>
      <c r="K20" s="213">
        <v>0</v>
      </c>
      <c r="L20" s="213">
        <v>0</v>
      </c>
      <c r="M20" s="213">
        <v>0</v>
      </c>
      <c r="N20" s="213">
        <v>0</v>
      </c>
      <c r="O20" s="213">
        <v>0</v>
      </c>
      <c r="P20" s="213">
        <v>0</v>
      </c>
      <c r="R20" s="146" t="str">
        <f t="shared" si="0"/>
        <v>AIR THRINK TUBE (600V이하)6T x 50</v>
      </c>
    </row>
    <row r="21" spans="1:18" ht="23.1" customHeight="1">
      <c r="D21" s="227" t="s">
        <v>206</v>
      </c>
      <c r="E21" s="227" t="s">
        <v>207</v>
      </c>
      <c r="F21" s="240" t="s">
        <v>208</v>
      </c>
      <c r="G21" s="263">
        <v>57.67</v>
      </c>
      <c r="H21" s="147"/>
      <c r="I21" s="224"/>
      <c r="J21" s="223" t="e">
        <v>#REF!</v>
      </c>
      <c r="K21" s="213">
        <v>0</v>
      </c>
      <c r="L21" s="213">
        <v>0</v>
      </c>
      <c r="M21" s="213">
        <v>0</v>
      </c>
      <c r="N21" s="213">
        <v>0</v>
      </c>
      <c r="O21" s="213">
        <v>0</v>
      </c>
      <c r="P21" s="213">
        <v>0</v>
      </c>
      <c r="R21" s="146" t="str">
        <f t="shared" si="0"/>
        <v>BUS BAR COATINGAG</v>
      </c>
    </row>
    <row r="22" spans="1:18" ht="23.1" customHeight="1">
      <c r="D22" s="227" t="s">
        <v>209</v>
      </c>
      <c r="E22" s="227" t="s">
        <v>210</v>
      </c>
      <c r="F22" s="240" t="s">
        <v>203</v>
      </c>
      <c r="G22" s="263">
        <v>0.8</v>
      </c>
      <c r="H22" s="147"/>
      <c r="I22" s="224"/>
      <c r="J22" s="223" t="e">
        <v>#REF!</v>
      </c>
      <c r="K22" s="213">
        <v>0.09</v>
      </c>
      <c r="L22" s="213">
        <v>0</v>
      </c>
      <c r="M22" s="213">
        <v>7.0000000000000007E-2</v>
      </c>
      <c r="N22" s="213">
        <v>7.1999999999999995E-2</v>
      </c>
      <c r="O22" s="213">
        <v>0</v>
      </c>
      <c r="P22" s="213">
        <v>5.6000000000000008E-2</v>
      </c>
      <c r="R22" s="146" t="str">
        <f t="shared" si="0"/>
        <v>EARTH BAR3.0 mm x 30 mm</v>
      </c>
    </row>
    <row r="23" spans="1:18" ht="23.1" customHeight="1">
      <c r="D23" s="227" t="s">
        <v>211</v>
      </c>
      <c r="E23" s="227" t="s">
        <v>212</v>
      </c>
      <c r="F23" s="240" t="s">
        <v>203</v>
      </c>
      <c r="G23" s="263">
        <v>4</v>
      </c>
      <c r="H23" s="147"/>
      <c r="I23" s="224"/>
      <c r="J23" s="223" t="e">
        <v>#REF!</v>
      </c>
      <c r="K23" s="213">
        <v>0</v>
      </c>
      <c r="L23" s="266">
        <v>8.0000000000000002E-3</v>
      </c>
      <c r="M23" s="213">
        <v>0</v>
      </c>
      <c r="N23" s="213">
        <v>0</v>
      </c>
      <c r="O23" s="213">
        <v>3.2000000000000001E-2</v>
      </c>
      <c r="P23" s="213">
        <v>0</v>
      </c>
      <c r="Q23" s="271"/>
      <c r="R23" s="146" t="str">
        <f t="shared" si="0"/>
        <v>EARTH WIREF-GV 70㎟</v>
      </c>
    </row>
    <row r="24" spans="1:18" ht="23.1" customHeight="1">
      <c r="D24" s="227" t="s">
        <v>213</v>
      </c>
      <c r="E24" s="227" t="s">
        <v>214</v>
      </c>
      <c r="F24" s="240" t="s">
        <v>186</v>
      </c>
      <c r="G24" s="263">
        <v>1</v>
      </c>
      <c r="H24" s="147"/>
      <c r="I24" s="224"/>
      <c r="J24" s="223" t="e">
        <v>#REF!</v>
      </c>
      <c r="K24" s="213">
        <v>0</v>
      </c>
      <c r="L24" s="213">
        <v>1.6E-2</v>
      </c>
      <c r="M24" s="213">
        <v>0</v>
      </c>
      <c r="N24" s="213">
        <v>0</v>
      </c>
      <c r="O24" s="213">
        <v>1.6E-2</v>
      </c>
      <c r="P24" s="213">
        <v>0</v>
      </c>
      <c r="R24" s="146" t="str">
        <f t="shared" si="0"/>
        <v>EARTH TERMINAL70㎟</v>
      </c>
    </row>
    <row r="25" spans="1:18" ht="23.1" customHeight="1">
      <c r="D25" s="227" t="s">
        <v>215</v>
      </c>
      <c r="E25" s="227" t="s">
        <v>216</v>
      </c>
      <c r="F25" s="240" t="s">
        <v>217</v>
      </c>
      <c r="G25" s="263">
        <v>1</v>
      </c>
      <c r="H25" s="147"/>
      <c r="I25" s="224"/>
      <c r="J25" s="223" t="e">
        <v>#REF!</v>
      </c>
      <c r="K25" s="213">
        <v>2.99</v>
      </c>
      <c r="L25" s="213">
        <v>0</v>
      </c>
      <c r="M25" s="213">
        <v>0</v>
      </c>
      <c r="N25" s="213">
        <v>2.99</v>
      </c>
      <c r="O25" s="213">
        <v>0</v>
      </c>
      <c r="P25" s="213">
        <v>0</v>
      </c>
      <c r="R25" s="146" t="str">
        <f t="shared" si="0"/>
        <v>A C B (표준형)4P 600AF  D/O</v>
      </c>
    </row>
    <row r="26" spans="1:18" ht="23.1" customHeight="1">
      <c r="D26" s="227" t="s">
        <v>218</v>
      </c>
      <c r="E26" s="227" t="s">
        <v>219</v>
      </c>
      <c r="F26" s="240" t="s">
        <v>186</v>
      </c>
      <c r="G26" s="263">
        <v>3</v>
      </c>
      <c r="H26" s="147"/>
      <c r="I26" s="224"/>
      <c r="J26" s="223" t="e">
        <v>#REF!</v>
      </c>
      <c r="K26" s="213">
        <v>0.34</v>
      </c>
      <c r="L26" s="213">
        <v>0</v>
      </c>
      <c r="M26" s="213">
        <v>0</v>
      </c>
      <c r="N26" s="213">
        <v>1.02</v>
      </c>
      <c r="O26" s="213">
        <v>0</v>
      </c>
      <c r="P26" s="213">
        <v>0</v>
      </c>
      <c r="R26" s="146" t="str">
        <f t="shared" si="0"/>
        <v>P T   440/110V200VA 1.0 EPOXY MOLD</v>
      </c>
    </row>
    <row r="27" spans="1:18" ht="23.1" customHeight="1">
      <c r="D27" s="227" t="s">
        <v>220</v>
      </c>
      <c r="E27" s="227" t="s">
        <v>221</v>
      </c>
      <c r="F27" s="240" t="s">
        <v>186</v>
      </c>
      <c r="G27" s="263">
        <v>3</v>
      </c>
      <c r="H27" s="147"/>
      <c r="I27" s="224"/>
      <c r="J27" s="223" t="e">
        <v>#REF!</v>
      </c>
      <c r="K27" s="213">
        <v>0.34</v>
      </c>
      <c r="L27" s="213">
        <v>0</v>
      </c>
      <c r="M27" s="213">
        <v>0</v>
      </c>
      <c r="N27" s="213">
        <v>1.02</v>
      </c>
      <c r="O27" s="213">
        <v>0</v>
      </c>
      <c r="P27" s="213">
        <v>0</v>
      </c>
      <c r="R27" s="146" t="str">
        <f t="shared" si="0"/>
        <v>C T 1150V  600/5A 40VA 1.0WINDOW TYPE 40In</v>
      </c>
    </row>
    <row r="28" spans="1:18" ht="23.1" customHeight="1">
      <c r="D28" s="227" t="s">
        <v>222</v>
      </c>
      <c r="E28" s="227"/>
      <c r="F28" s="240" t="s">
        <v>217</v>
      </c>
      <c r="G28" s="263">
        <v>1</v>
      </c>
      <c r="H28" s="147"/>
      <c r="I28" s="224"/>
      <c r="J28" s="223" t="e">
        <v>#REF!</v>
      </c>
      <c r="K28" s="213">
        <v>0.38</v>
      </c>
      <c r="L28" s="213">
        <v>0</v>
      </c>
      <c r="M28" s="213">
        <v>0</v>
      </c>
      <c r="N28" s="213">
        <v>0.38</v>
      </c>
      <c r="O28" s="213">
        <v>0</v>
      </c>
      <c r="P28" s="213">
        <v>0</v>
      </c>
      <c r="R28" s="146" t="str">
        <f t="shared" si="0"/>
        <v>전자화전력보호</v>
      </c>
    </row>
    <row r="29" spans="1:18" ht="23.1" customHeight="1">
      <c r="D29" s="227" t="s">
        <v>223</v>
      </c>
      <c r="E29" s="227"/>
      <c r="F29" s="240" t="s">
        <v>186</v>
      </c>
      <c r="G29" s="263">
        <v>1</v>
      </c>
      <c r="H29" s="147"/>
      <c r="I29" s="224"/>
      <c r="J29" s="223" t="e">
        <v>#REF!</v>
      </c>
      <c r="K29" s="213">
        <v>0.46</v>
      </c>
      <c r="L29" s="213">
        <v>0</v>
      </c>
      <c r="M29" s="213">
        <v>0</v>
      </c>
      <c r="N29" s="213">
        <v>0.46</v>
      </c>
      <c r="O29" s="213">
        <v>0</v>
      </c>
      <c r="P29" s="213">
        <v>0</v>
      </c>
      <c r="R29" s="146" t="str">
        <f t="shared" si="0"/>
        <v>SPD DS</v>
      </c>
    </row>
    <row r="30" spans="1:18" ht="23.1" customHeight="1">
      <c r="D30" s="227" t="s">
        <v>101</v>
      </c>
      <c r="E30" s="227" t="s">
        <v>224</v>
      </c>
      <c r="F30" s="240" t="s">
        <v>217</v>
      </c>
      <c r="G30" s="263">
        <v>1</v>
      </c>
      <c r="H30" s="147"/>
      <c r="I30" s="224"/>
      <c r="J30" s="223" t="e">
        <v>#REF!</v>
      </c>
      <c r="K30" s="213">
        <v>0.24</v>
      </c>
      <c r="L30" s="213">
        <v>0</v>
      </c>
      <c r="M30" s="213">
        <v>0</v>
      </c>
      <c r="N30" s="213">
        <v>0.24</v>
      </c>
      <c r="O30" s="213">
        <v>0</v>
      </c>
      <c r="P30" s="213">
        <v>0</v>
      </c>
      <c r="R30" s="146" t="str">
        <f t="shared" si="0"/>
        <v>SPDCLASS I Iimp 12.5kA</v>
      </c>
    </row>
    <row r="31" spans="1:18" ht="23.1" customHeight="1">
      <c r="D31" s="227" t="s">
        <v>225</v>
      </c>
      <c r="E31" s="227"/>
      <c r="F31" s="240" t="s">
        <v>217</v>
      </c>
      <c r="G31" s="263">
        <v>1</v>
      </c>
      <c r="H31" s="147"/>
      <c r="I31" s="224"/>
      <c r="J31" s="223" t="e">
        <v>#REF!</v>
      </c>
      <c r="K31" s="213">
        <v>0.32</v>
      </c>
      <c r="L31" s="213">
        <v>0</v>
      </c>
      <c r="M31" s="213">
        <v>0</v>
      </c>
      <c r="N31" s="213">
        <v>0.32</v>
      </c>
      <c r="O31" s="213">
        <v>0</v>
      </c>
      <c r="P31" s="213">
        <v>0</v>
      </c>
      <c r="R31" s="146" t="str">
        <f t="shared" si="0"/>
        <v>W H M</v>
      </c>
    </row>
    <row r="32" spans="1:18" ht="23.1" customHeight="1">
      <c r="A32" s="219">
        <v>56959000395</v>
      </c>
      <c r="B32" s="218" t="s">
        <v>343</v>
      </c>
      <c r="C32" s="218" t="s">
        <v>348</v>
      </c>
      <c r="D32" s="227" t="s">
        <v>226</v>
      </c>
      <c r="E32" s="227"/>
      <c r="F32" s="240" t="s">
        <v>186</v>
      </c>
      <c r="G32" s="263">
        <v>3</v>
      </c>
      <c r="H32" s="147"/>
      <c r="I32" s="224"/>
      <c r="J32" s="223" t="e">
        <v>#REF!</v>
      </c>
      <c r="K32" s="213">
        <v>0.34</v>
      </c>
      <c r="L32" s="213">
        <v>0</v>
      </c>
      <c r="M32" s="213">
        <v>0</v>
      </c>
      <c r="N32" s="213">
        <v>1.02</v>
      </c>
      <c r="O32" s="213">
        <v>0</v>
      </c>
      <c r="P32" s="213">
        <v>0</v>
      </c>
      <c r="R32" s="146" t="str">
        <f t="shared" si="0"/>
        <v>C T</v>
      </c>
    </row>
    <row r="33" spans="1:18" ht="23.1" customHeight="1">
      <c r="A33" s="219">
        <v>56959000396</v>
      </c>
      <c r="B33" s="218" t="s">
        <v>343</v>
      </c>
      <c r="C33" s="218" t="s">
        <v>349</v>
      </c>
      <c r="D33" s="227" t="s">
        <v>227</v>
      </c>
      <c r="E33" s="227" t="s">
        <v>228</v>
      </c>
      <c r="F33" s="240" t="s">
        <v>186</v>
      </c>
      <c r="G33" s="263">
        <v>1</v>
      </c>
      <c r="H33" s="147"/>
      <c r="I33" s="224"/>
      <c r="J33" s="223" t="e">
        <v>#REF!</v>
      </c>
      <c r="K33" s="213">
        <v>0.2</v>
      </c>
      <c r="L33" s="213">
        <v>0</v>
      </c>
      <c r="M33" s="213">
        <v>0</v>
      </c>
      <c r="N33" s="213">
        <v>0.2</v>
      </c>
      <c r="O33" s="213">
        <v>0</v>
      </c>
      <c r="P33" s="213">
        <v>0</v>
      </c>
      <c r="R33" s="146" t="str">
        <f t="shared" si="0"/>
        <v>C S (CAM S/W)PULL TURN TYPE</v>
      </c>
    </row>
    <row r="34" spans="1:18" ht="23.1" customHeight="1">
      <c r="A34" s="219">
        <v>56959000397</v>
      </c>
      <c r="B34" s="218" t="s">
        <v>343</v>
      </c>
      <c r="C34" s="218" t="s">
        <v>350</v>
      </c>
      <c r="D34" s="227" t="s">
        <v>229</v>
      </c>
      <c r="E34" s="227" t="s">
        <v>230</v>
      </c>
      <c r="F34" s="240" t="s">
        <v>186</v>
      </c>
      <c r="G34" s="263">
        <v>2</v>
      </c>
      <c r="H34" s="147"/>
      <c r="I34" s="224"/>
      <c r="J34" s="223" t="e">
        <v>#REF!</v>
      </c>
      <c r="K34" s="213">
        <v>0.1</v>
      </c>
      <c r="L34" s="213">
        <v>0</v>
      </c>
      <c r="M34" s="213">
        <v>0</v>
      </c>
      <c r="N34" s="213">
        <v>0.2</v>
      </c>
      <c r="O34" s="213">
        <v>0</v>
      </c>
      <c r="P34" s="213">
        <v>0</v>
      </c>
      <c r="R34" s="146" t="str">
        <f t="shared" si="0"/>
        <v>P LDC 110/125V 30mm</v>
      </c>
    </row>
    <row r="35" spans="1:18" ht="23.1" customHeight="1">
      <c r="A35" s="219">
        <v>56959000398</v>
      </c>
      <c r="B35" s="218" t="s">
        <v>343</v>
      </c>
      <c r="C35" s="218" t="s">
        <v>351</v>
      </c>
      <c r="D35" s="227" t="s">
        <v>231</v>
      </c>
      <c r="E35" s="227" t="s">
        <v>232</v>
      </c>
      <c r="F35" s="240" t="s">
        <v>186</v>
      </c>
      <c r="G35" s="263">
        <v>3</v>
      </c>
      <c r="H35" s="147"/>
      <c r="I35" s="224"/>
      <c r="J35" s="223" t="e">
        <v>#REF!</v>
      </c>
      <c r="K35" s="213">
        <v>6.5000000000000002E-2</v>
      </c>
      <c r="L35" s="213">
        <v>0</v>
      </c>
      <c r="M35" s="213">
        <v>0</v>
      </c>
      <c r="N35" s="213">
        <v>0.19500000000000001</v>
      </c>
      <c r="O35" s="213">
        <v>0</v>
      </c>
      <c r="P35" s="213">
        <v>0</v>
      </c>
      <c r="R35" s="146" t="str">
        <f t="shared" si="0"/>
        <v>P B S25/30Φ 1a 1b</v>
      </c>
    </row>
    <row r="36" spans="1:18" ht="23.1" customHeight="1">
      <c r="A36" s="219">
        <v>56959000418</v>
      </c>
      <c r="B36" s="218" t="s">
        <v>343</v>
      </c>
      <c r="C36" s="218" t="s">
        <v>352</v>
      </c>
      <c r="D36" s="227" t="s">
        <v>233</v>
      </c>
      <c r="E36" s="227" t="s">
        <v>234</v>
      </c>
      <c r="F36" s="240" t="s">
        <v>186</v>
      </c>
      <c r="G36" s="263">
        <v>1</v>
      </c>
      <c r="H36" s="147"/>
      <c r="I36" s="224"/>
      <c r="J36" s="223" t="e">
        <v>#REF!</v>
      </c>
      <c r="K36" s="213">
        <v>0.08</v>
      </c>
      <c r="L36" s="213">
        <v>0</v>
      </c>
      <c r="M36" s="213">
        <v>0</v>
      </c>
      <c r="N36" s="213">
        <v>0.08</v>
      </c>
      <c r="O36" s="213">
        <v>0</v>
      </c>
      <c r="P36" s="213">
        <v>0</v>
      </c>
      <c r="R36" s="146" t="str">
        <f t="shared" si="0"/>
        <v>B Z (PANEL용)DC 110V 4인치</v>
      </c>
    </row>
    <row r="37" spans="1:18" ht="23.1" customHeight="1">
      <c r="D37" s="227" t="s">
        <v>235</v>
      </c>
      <c r="E37" s="227" t="s">
        <v>236</v>
      </c>
      <c r="F37" s="240" t="s">
        <v>186</v>
      </c>
      <c r="G37" s="263">
        <v>3</v>
      </c>
      <c r="H37" s="147"/>
      <c r="I37" s="224"/>
      <c r="J37" s="223" t="e">
        <v>#REF!</v>
      </c>
      <c r="K37" s="213">
        <v>0.2</v>
      </c>
      <c r="L37" s="213">
        <v>0</v>
      </c>
      <c r="M37" s="213">
        <v>0</v>
      </c>
      <c r="N37" s="213">
        <v>0.60000000000000009</v>
      </c>
      <c r="O37" s="213">
        <v>0</v>
      </c>
      <c r="P37" s="213">
        <v>0</v>
      </c>
      <c r="R37" s="146" t="str">
        <f t="shared" si="0"/>
        <v>T T MCTT.PTT 3P 4W W/PLUG</v>
      </c>
    </row>
    <row r="38" spans="1:18" ht="23.1" customHeight="1">
      <c r="D38" s="227" t="s">
        <v>237</v>
      </c>
      <c r="E38" s="227" t="s">
        <v>238</v>
      </c>
      <c r="F38" s="240" t="s">
        <v>186</v>
      </c>
      <c r="G38" s="263">
        <v>1</v>
      </c>
      <c r="H38" s="147"/>
      <c r="I38" s="224"/>
      <c r="J38" s="223" t="e">
        <v>#REF!</v>
      </c>
      <c r="K38" s="213">
        <v>0.18</v>
      </c>
      <c r="L38" s="213">
        <v>0</v>
      </c>
      <c r="M38" s="213">
        <v>0</v>
      </c>
      <c r="N38" s="213">
        <v>0.18</v>
      </c>
      <c r="O38" s="213">
        <v>0</v>
      </c>
      <c r="P38" s="213">
        <v>0</v>
      </c>
      <c r="R38" s="146" t="str">
        <f t="shared" si="0"/>
        <v>FLICKER RELAY (FCR)110/220V ON:6S OFF:3S</v>
      </c>
    </row>
    <row r="39" spans="1:18" ht="23.1" customHeight="1">
      <c r="D39" s="227" t="s">
        <v>239</v>
      </c>
      <c r="E39" s="227" t="s">
        <v>240</v>
      </c>
      <c r="F39" s="240" t="s">
        <v>186</v>
      </c>
      <c r="G39" s="263">
        <v>16</v>
      </c>
      <c r="H39" s="147"/>
      <c r="I39" s="224"/>
      <c r="J39" s="223" t="e">
        <v>#REF!</v>
      </c>
      <c r="K39" s="213">
        <v>0.02</v>
      </c>
      <c r="L39" s="213">
        <v>0</v>
      </c>
      <c r="M39" s="213">
        <v>0</v>
      </c>
      <c r="N39" s="213">
        <v>0.32</v>
      </c>
      <c r="O39" s="213">
        <v>0</v>
      </c>
      <c r="P39" s="213">
        <v>0</v>
      </c>
      <c r="R39" s="146" t="str">
        <f t="shared" si="0"/>
        <v>EPOXY INSULATOR600V 40x40mm</v>
      </c>
    </row>
    <row r="40" spans="1:18" ht="23.1" customHeight="1">
      <c r="D40" s="227" t="s">
        <v>241</v>
      </c>
      <c r="E40" s="227" t="s">
        <v>242</v>
      </c>
      <c r="F40" s="240" t="s">
        <v>243</v>
      </c>
      <c r="G40" s="263">
        <v>1.2</v>
      </c>
      <c r="H40" s="147"/>
      <c r="I40" s="224"/>
      <c r="J40" s="223" t="e">
        <v>#REF!</v>
      </c>
      <c r="K40" s="213">
        <v>0</v>
      </c>
      <c r="L40" s="213">
        <v>0</v>
      </c>
      <c r="M40" s="213">
        <v>0</v>
      </c>
      <c r="N40" s="213">
        <v>0</v>
      </c>
      <c r="O40" s="213">
        <v>0</v>
      </c>
      <c r="P40" s="213">
        <v>0</v>
      </c>
      <c r="R40" s="146" t="str">
        <f t="shared" si="0"/>
        <v>BAKELITE PLATE5tx400x600</v>
      </c>
    </row>
    <row r="41" spans="1:18" ht="23.1" customHeight="1">
      <c r="D41" s="227" t="s">
        <v>103</v>
      </c>
      <c r="E41" s="227" t="s">
        <v>244</v>
      </c>
      <c r="F41" s="240" t="s">
        <v>186</v>
      </c>
      <c r="G41" s="263">
        <v>4</v>
      </c>
      <c r="H41" s="147"/>
      <c r="I41" s="224"/>
      <c r="J41" s="223" t="e">
        <v>#REF!</v>
      </c>
      <c r="K41" s="213">
        <v>0.22</v>
      </c>
      <c r="L41" s="213">
        <v>0</v>
      </c>
      <c r="M41" s="213">
        <v>0</v>
      </c>
      <c r="N41" s="213">
        <v>0.88</v>
      </c>
      <c r="O41" s="213">
        <v>0</v>
      </c>
      <c r="P41" s="213">
        <v>0</v>
      </c>
      <c r="R41" s="146" t="str">
        <f t="shared" si="0"/>
        <v>PVC DUCT30x40x2m W/COVER</v>
      </c>
    </row>
    <row r="42" spans="1:18" ht="23.1" customHeight="1">
      <c r="D42" s="227" t="s">
        <v>103</v>
      </c>
      <c r="E42" s="227" t="s">
        <v>245</v>
      </c>
      <c r="F42" s="240" t="s">
        <v>186</v>
      </c>
      <c r="G42" s="263">
        <v>4</v>
      </c>
      <c r="H42" s="147"/>
      <c r="I42" s="224"/>
      <c r="J42" s="223" t="e">
        <v>#REF!</v>
      </c>
      <c r="K42" s="213">
        <v>0.22</v>
      </c>
      <c r="L42" s="213">
        <v>0</v>
      </c>
      <c r="M42" s="213">
        <v>0</v>
      </c>
      <c r="N42" s="213">
        <v>0.88</v>
      </c>
      <c r="O42" s="213">
        <v>0</v>
      </c>
      <c r="P42" s="213">
        <v>0</v>
      </c>
      <c r="R42" s="146" t="str">
        <f t="shared" si="0"/>
        <v>PVC DUCT40x60x2m W/COVER</v>
      </c>
    </row>
    <row r="43" spans="1:18" ht="23.1" customHeight="1">
      <c r="D43" s="227" t="s">
        <v>246</v>
      </c>
      <c r="E43" s="227" t="s">
        <v>247</v>
      </c>
      <c r="F43" s="240" t="s">
        <v>186</v>
      </c>
      <c r="G43" s="263">
        <v>6</v>
      </c>
      <c r="H43" s="147"/>
      <c r="I43" s="224"/>
      <c r="J43" s="223" t="e">
        <v>#REF!</v>
      </c>
      <c r="K43" s="213">
        <v>0</v>
      </c>
      <c r="L43" s="213">
        <v>0</v>
      </c>
      <c r="M43" s="213">
        <v>0</v>
      </c>
      <c r="N43" s="213">
        <v>0</v>
      </c>
      <c r="O43" s="213">
        <v>0</v>
      </c>
      <c r="P43" s="213">
        <v>0</v>
      </c>
      <c r="R43" s="146" t="str">
        <f t="shared" si="0"/>
        <v>단자대(TB)10P 30A</v>
      </c>
    </row>
    <row r="44" spans="1:18" ht="23.1" customHeight="1">
      <c r="D44" s="227" t="s">
        <v>248</v>
      </c>
      <c r="E44" s="227" t="s">
        <v>249</v>
      </c>
      <c r="F44" s="240" t="s">
        <v>186</v>
      </c>
      <c r="G44" s="263">
        <v>2</v>
      </c>
      <c r="H44" s="147"/>
      <c r="I44" s="224"/>
      <c r="J44" s="223" t="e">
        <v>#REF!</v>
      </c>
      <c r="K44" s="213">
        <v>0.18</v>
      </c>
      <c r="L44" s="213">
        <v>0</v>
      </c>
      <c r="M44" s="213">
        <v>0</v>
      </c>
      <c r="N44" s="213">
        <v>0.36</v>
      </c>
      <c r="O44" s="213">
        <v>0</v>
      </c>
      <c r="P44" s="213">
        <v>0</v>
      </c>
      <c r="R44" s="146" t="str">
        <f t="shared" si="0"/>
        <v>A U X - RAC 2a2b</v>
      </c>
    </row>
    <row r="45" spans="1:18" ht="23.1" customHeight="1">
      <c r="D45" s="227" t="s">
        <v>248</v>
      </c>
      <c r="E45" s="227" t="s">
        <v>250</v>
      </c>
      <c r="F45" s="240" t="s">
        <v>186</v>
      </c>
      <c r="G45" s="263">
        <v>2</v>
      </c>
      <c r="H45" s="147"/>
      <c r="I45" s="224"/>
      <c r="J45" s="223" t="e">
        <v>#REF!</v>
      </c>
      <c r="K45" s="213">
        <v>0.18</v>
      </c>
      <c r="L45" s="213">
        <v>0</v>
      </c>
      <c r="M45" s="213">
        <v>0</v>
      </c>
      <c r="N45" s="213">
        <v>0.36</v>
      </c>
      <c r="O45" s="213">
        <v>0</v>
      </c>
      <c r="P45" s="213">
        <v>0</v>
      </c>
      <c r="R45" s="146" t="str">
        <f t="shared" si="0"/>
        <v>A U X - RAC 4a4b</v>
      </c>
    </row>
    <row r="46" spans="1:18" ht="23.1" customHeight="1">
      <c r="D46" s="227" t="s">
        <v>251</v>
      </c>
      <c r="E46" s="227" t="s">
        <v>252</v>
      </c>
      <c r="F46" s="240" t="s">
        <v>203</v>
      </c>
      <c r="G46" s="263">
        <v>4.8</v>
      </c>
      <c r="H46" s="147"/>
      <c r="I46" s="224"/>
      <c r="J46" s="223" t="e">
        <v>#REF!</v>
      </c>
      <c r="K46" s="213">
        <v>0</v>
      </c>
      <c r="L46" s="213">
        <v>0.04</v>
      </c>
      <c r="M46" s="213">
        <v>0</v>
      </c>
      <c r="N46" s="213">
        <v>0</v>
      </c>
      <c r="O46" s="213">
        <v>0.192</v>
      </c>
      <c r="P46" s="213">
        <v>0</v>
      </c>
      <c r="R46" s="146" t="str">
        <f t="shared" si="0"/>
        <v>LOAD WIREKIV 50㎟</v>
      </c>
    </row>
    <row r="47" spans="1:18" ht="23.1" customHeight="1">
      <c r="D47" s="227" t="s">
        <v>253</v>
      </c>
      <c r="E47" s="227" t="s">
        <v>254</v>
      </c>
      <c r="F47" s="240" t="s">
        <v>186</v>
      </c>
      <c r="G47" s="263">
        <v>1</v>
      </c>
      <c r="H47" s="147"/>
      <c r="I47" s="224"/>
      <c r="J47" s="223" t="e">
        <v>#REF!</v>
      </c>
      <c r="K47" s="213">
        <v>0</v>
      </c>
      <c r="L47" s="213">
        <v>0</v>
      </c>
      <c r="M47" s="213">
        <v>0</v>
      </c>
      <c r="N47" s="213">
        <v>0</v>
      </c>
      <c r="O47" s="213">
        <v>0</v>
      </c>
      <c r="P47" s="213">
        <v>0</v>
      </c>
      <c r="R47" s="146" t="str">
        <f t="shared" si="0"/>
        <v>LOAD TB4P 100A</v>
      </c>
    </row>
    <row r="48" spans="1:18" ht="23.1" customHeight="1">
      <c r="D48" s="227" t="s">
        <v>255</v>
      </c>
      <c r="E48" s="227" t="s">
        <v>256</v>
      </c>
      <c r="F48" s="240" t="s">
        <v>186</v>
      </c>
      <c r="G48" s="263">
        <v>8</v>
      </c>
      <c r="H48" s="147"/>
      <c r="I48" s="224"/>
      <c r="J48" s="223" t="e">
        <v>#REF!</v>
      </c>
      <c r="K48" s="213">
        <v>0</v>
      </c>
      <c r="L48" s="213">
        <v>1.6E-2</v>
      </c>
      <c r="M48" s="213">
        <v>0</v>
      </c>
      <c r="N48" s="213">
        <v>0</v>
      </c>
      <c r="O48" s="213">
        <v>0.128</v>
      </c>
      <c r="P48" s="213">
        <v>0</v>
      </c>
      <c r="R48" s="146" t="str">
        <f t="shared" si="0"/>
        <v>TERMINAL LUG50㎟</v>
      </c>
    </row>
    <row r="49" spans="4:18" ht="23.1" customHeight="1">
      <c r="D49" s="227" t="s">
        <v>257</v>
      </c>
      <c r="E49" s="227" t="s">
        <v>258</v>
      </c>
      <c r="F49" s="240" t="s">
        <v>203</v>
      </c>
      <c r="G49" s="263">
        <v>135.05000000000001</v>
      </c>
      <c r="H49" s="147"/>
      <c r="I49" s="224"/>
      <c r="J49" s="223" t="e">
        <v>#REF!</v>
      </c>
      <c r="K49" s="213">
        <v>0.05</v>
      </c>
      <c r="L49" s="213">
        <v>0</v>
      </c>
      <c r="M49" s="213">
        <v>0</v>
      </c>
      <c r="N49" s="213">
        <v>6.7525000000000013</v>
      </c>
      <c r="O49" s="213">
        <v>0</v>
      </c>
      <c r="P49" s="213">
        <v>0</v>
      </c>
      <c r="R49" s="146" t="str">
        <f t="shared" si="0"/>
        <v>이면배선 (IEC)KIV 2.5㎟</v>
      </c>
    </row>
    <row r="50" spans="4:18" ht="23.1" customHeight="1">
      <c r="D50" s="227" t="s">
        <v>257</v>
      </c>
      <c r="E50" s="227" t="s">
        <v>259</v>
      </c>
      <c r="F50" s="240" t="s">
        <v>203</v>
      </c>
      <c r="G50" s="263">
        <v>29.2</v>
      </c>
      <c r="H50" s="147"/>
      <c r="I50" s="224"/>
      <c r="J50" s="223" t="e">
        <v>#REF!</v>
      </c>
      <c r="K50" s="213">
        <v>0.05</v>
      </c>
      <c r="L50" s="213">
        <v>0</v>
      </c>
      <c r="M50" s="213">
        <v>0</v>
      </c>
      <c r="N50" s="213">
        <v>1.46</v>
      </c>
      <c r="O50" s="213">
        <v>0</v>
      </c>
      <c r="P50" s="213">
        <v>0</v>
      </c>
      <c r="R50" s="146" t="str">
        <f t="shared" si="0"/>
        <v>이면배선 (IEC)KIV 4㎟</v>
      </c>
    </row>
    <row r="51" spans="4:18" ht="23.1" customHeight="1">
      <c r="D51" s="227" t="s">
        <v>260</v>
      </c>
      <c r="E51" s="227" t="s">
        <v>261</v>
      </c>
      <c r="F51" s="240" t="s">
        <v>100</v>
      </c>
      <c r="G51" s="263">
        <v>4</v>
      </c>
      <c r="H51" s="147"/>
      <c r="I51" s="224"/>
      <c r="J51" s="223" t="e">
        <v>#REF!</v>
      </c>
      <c r="K51" s="213">
        <v>0</v>
      </c>
      <c r="L51" s="213">
        <v>0</v>
      </c>
      <c r="M51" s="213">
        <v>0</v>
      </c>
      <c r="N51" s="213">
        <v>0</v>
      </c>
      <c r="O51" s="213">
        <v>0</v>
      </c>
      <c r="P51" s="213">
        <v>0</v>
      </c>
      <c r="R51" s="146" t="str">
        <f t="shared" si="0"/>
        <v>육각BOLTM14 x 100 H/T</v>
      </c>
    </row>
    <row r="52" spans="4:18" ht="23.1" customHeight="1">
      <c r="D52" s="227" t="s">
        <v>262</v>
      </c>
      <c r="E52" s="227" t="s">
        <v>263</v>
      </c>
      <c r="F52" s="240" t="s">
        <v>100</v>
      </c>
      <c r="G52" s="263">
        <v>8</v>
      </c>
      <c r="H52" s="147"/>
      <c r="I52" s="224"/>
      <c r="J52" s="223" t="e">
        <v>#REF!</v>
      </c>
      <c r="K52" s="213">
        <v>0</v>
      </c>
      <c r="L52" s="213">
        <v>0</v>
      </c>
      <c r="M52" s="213">
        <v>0</v>
      </c>
      <c r="N52" s="213">
        <v>0</v>
      </c>
      <c r="O52" s="213">
        <v>0</v>
      </c>
      <c r="P52" s="213">
        <v>0</v>
      </c>
      <c r="R52" s="146" t="str">
        <f t="shared" si="0"/>
        <v>NUTM14 H/T</v>
      </c>
    </row>
    <row r="53" spans="4:18" ht="23.1" customHeight="1">
      <c r="D53" s="227" t="s">
        <v>264</v>
      </c>
      <c r="E53" s="227" t="s">
        <v>263</v>
      </c>
      <c r="F53" s="240" t="s">
        <v>100</v>
      </c>
      <c r="G53" s="263">
        <v>4</v>
      </c>
      <c r="H53" s="147"/>
      <c r="I53" s="224"/>
      <c r="J53" s="223" t="e">
        <v>#REF!</v>
      </c>
      <c r="K53" s="213">
        <v>0</v>
      </c>
      <c r="L53" s="213">
        <v>0</v>
      </c>
      <c r="M53" s="213">
        <v>0</v>
      </c>
      <c r="N53" s="213">
        <v>0</v>
      </c>
      <c r="O53" s="213">
        <v>0</v>
      </c>
      <c r="P53" s="213">
        <v>0</v>
      </c>
      <c r="R53" s="146" t="str">
        <f t="shared" si="0"/>
        <v>평와샤M14 H/T</v>
      </c>
    </row>
    <row r="54" spans="4:18" ht="23.1" customHeight="1">
      <c r="D54" s="227" t="s">
        <v>265</v>
      </c>
      <c r="E54" s="227" t="s">
        <v>266</v>
      </c>
      <c r="F54" s="240" t="s">
        <v>100</v>
      </c>
      <c r="G54" s="263">
        <v>4</v>
      </c>
      <c r="H54" s="147"/>
      <c r="I54" s="224"/>
      <c r="J54" s="223" t="e">
        <v>#REF!</v>
      </c>
      <c r="K54" s="213">
        <v>0</v>
      </c>
      <c r="L54" s="213">
        <v>0</v>
      </c>
      <c r="M54" s="213">
        <v>0</v>
      </c>
      <c r="N54" s="213">
        <v>0</v>
      </c>
      <c r="O54" s="213">
        <v>0</v>
      </c>
      <c r="P54" s="213">
        <v>0</v>
      </c>
      <c r="R54" s="146" t="str">
        <f t="shared" si="0"/>
        <v>금형SPRINGCB 30 x 25 갈색</v>
      </c>
    </row>
    <row r="55" spans="4:18" ht="23.1" customHeight="1">
      <c r="D55" s="227" t="s">
        <v>267</v>
      </c>
      <c r="E55" s="227" t="s">
        <v>268</v>
      </c>
      <c r="F55" s="240" t="s">
        <v>100</v>
      </c>
      <c r="G55" s="263">
        <v>8</v>
      </c>
      <c r="H55" s="147"/>
      <c r="I55" s="224"/>
      <c r="J55" s="223" t="e">
        <v>#REF!</v>
      </c>
      <c r="K55" s="213">
        <v>0</v>
      </c>
      <c r="L55" s="213">
        <v>0</v>
      </c>
      <c r="M55" s="213">
        <v>0</v>
      </c>
      <c r="N55" s="213">
        <v>0</v>
      </c>
      <c r="O55" s="213">
        <v>0</v>
      </c>
      <c r="P55" s="213">
        <v>0</v>
      </c>
      <c r="R55" s="146" t="str">
        <f t="shared" si="0"/>
        <v>SPERICAL WASHER3A01 흑색착색</v>
      </c>
    </row>
    <row r="56" spans="4:18" ht="23.1" customHeight="1">
      <c r="D56" s="227" t="s">
        <v>269</v>
      </c>
      <c r="E56" s="227" t="s">
        <v>270</v>
      </c>
      <c r="F56" s="240" t="s">
        <v>100</v>
      </c>
      <c r="G56" s="263">
        <v>8</v>
      </c>
      <c r="H56" s="147"/>
      <c r="I56" s="224"/>
      <c r="J56" s="223" t="e">
        <v>#REF!</v>
      </c>
      <c r="K56" s="213">
        <v>0</v>
      </c>
      <c r="L56" s="213">
        <v>0</v>
      </c>
      <c r="M56" s="213">
        <v>0</v>
      </c>
      <c r="N56" s="213">
        <v>0</v>
      </c>
      <c r="O56" s="213">
        <v>0</v>
      </c>
      <c r="P56" s="213">
        <v>0</v>
      </c>
      <c r="R56" s="146" t="str">
        <f t="shared" si="0"/>
        <v>SPERICAL WASHER BASE3A02 흑색착색</v>
      </c>
    </row>
    <row r="57" spans="4:18" ht="23.1" customHeight="1">
      <c r="D57" s="227" t="s">
        <v>271</v>
      </c>
      <c r="E57" s="227" t="s">
        <v>272</v>
      </c>
      <c r="F57" s="240" t="s">
        <v>100</v>
      </c>
      <c r="G57" s="263">
        <v>8</v>
      </c>
      <c r="H57" s="147"/>
      <c r="I57" s="224"/>
      <c r="J57" s="223" t="e">
        <v>#REF!</v>
      </c>
      <c r="K57" s="213">
        <v>0</v>
      </c>
      <c r="L57" s="213">
        <v>0</v>
      </c>
      <c r="M57" s="213">
        <v>0</v>
      </c>
      <c r="N57" s="213">
        <v>0</v>
      </c>
      <c r="O57" s="213">
        <v>0</v>
      </c>
      <c r="P57" s="213">
        <v>0</v>
      </c>
      <c r="R57" s="146" t="str">
        <f t="shared" si="0"/>
        <v>BASE WASHER3A03 흑색착색</v>
      </c>
    </row>
    <row r="58" spans="4:18" ht="23.1" customHeight="1">
      <c r="D58" s="227" t="s">
        <v>273</v>
      </c>
      <c r="E58" s="227" t="s">
        <v>274</v>
      </c>
      <c r="F58" s="240" t="s">
        <v>100</v>
      </c>
      <c r="G58" s="263">
        <v>4</v>
      </c>
      <c r="H58" s="147"/>
      <c r="I58" s="224"/>
      <c r="J58" s="223" t="e">
        <v>#REF!</v>
      </c>
      <c r="K58" s="213">
        <v>0</v>
      </c>
      <c r="L58" s="213">
        <v>0</v>
      </c>
      <c r="M58" s="213">
        <v>0</v>
      </c>
      <c r="N58" s="213">
        <v>0</v>
      </c>
      <c r="O58" s="213">
        <v>0</v>
      </c>
      <c r="P58" s="213">
        <v>0</v>
      </c>
      <c r="R58" s="146" t="str">
        <f t="shared" si="0"/>
        <v>내진BOLT GUIDE3A04</v>
      </c>
    </row>
    <row r="59" spans="4:18" ht="23.1" customHeight="1">
      <c r="D59" s="227" t="s">
        <v>275</v>
      </c>
      <c r="E59" s="227"/>
      <c r="F59" s="240" t="s">
        <v>100</v>
      </c>
      <c r="G59" s="263">
        <v>4</v>
      </c>
      <c r="H59" s="147"/>
      <c r="I59" s="224"/>
      <c r="J59" s="223" t="e">
        <v>#REF!</v>
      </c>
      <c r="K59" s="213">
        <v>0</v>
      </c>
      <c r="L59" s="213">
        <v>0</v>
      </c>
      <c r="M59" s="213">
        <v>0</v>
      </c>
      <c r="N59" s="213">
        <v>0</v>
      </c>
      <c r="O59" s="213">
        <v>0</v>
      </c>
      <c r="P59" s="213">
        <v>0</v>
      </c>
      <c r="R59" s="146" t="str">
        <f t="shared" si="0"/>
        <v>3t 우레탄 고무판</v>
      </c>
    </row>
    <row r="60" spans="4:18" ht="23.1" customHeight="1">
      <c r="D60" s="227" t="s">
        <v>276</v>
      </c>
      <c r="E60" s="227"/>
      <c r="F60" s="240" t="s">
        <v>100</v>
      </c>
      <c r="G60" s="263">
        <v>2</v>
      </c>
      <c r="H60" s="147"/>
      <c r="I60" s="224"/>
      <c r="J60" s="223" t="e">
        <v>#REF!</v>
      </c>
      <c r="K60" s="213">
        <v>0</v>
      </c>
      <c r="L60" s="213">
        <v>0</v>
      </c>
      <c r="M60" s="213">
        <v>0</v>
      </c>
      <c r="N60" s="213">
        <v>0</v>
      </c>
      <c r="O60" s="213">
        <v>0</v>
      </c>
      <c r="P60" s="213">
        <v>0</v>
      </c>
      <c r="R60" s="146" t="str">
        <f t="shared" si="0"/>
        <v>내진BASE</v>
      </c>
    </row>
    <row r="61" spans="4:18" ht="23.1" customHeight="1">
      <c r="D61" s="227" t="s">
        <v>277</v>
      </c>
      <c r="E61" s="227" t="s">
        <v>278</v>
      </c>
      <c r="F61" s="240" t="s">
        <v>100</v>
      </c>
      <c r="G61" s="263">
        <v>1</v>
      </c>
      <c r="H61" s="147"/>
      <c r="I61" s="224"/>
      <c r="J61" s="223" t="e">
        <v>#REF!</v>
      </c>
      <c r="K61" s="213">
        <v>0</v>
      </c>
      <c r="L61" s="213">
        <v>0</v>
      </c>
      <c r="M61" s="213">
        <v>0</v>
      </c>
      <c r="N61" s="213">
        <v>0</v>
      </c>
      <c r="O61" s="213">
        <v>0</v>
      </c>
      <c r="P61" s="213">
        <v>0</v>
      </c>
      <c r="R61" s="146" t="str">
        <f t="shared" si="0"/>
        <v>MODULE소음감지용 PCB</v>
      </c>
    </row>
    <row r="62" spans="4:18" ht="23.1" customHeight="1">
      <c r="D62" s="227" t="s">
        <v>277</v>
      </c>
      <c r="E62" s="227" t="s">
        <v>279</v>
      </c>
      <c r="F62" s="240" t="s">
        <v>100</v>
      </c>
      <c r="G62" s="263">
        <v>1</v>
      </c>
      <c r="H62" s="147"/>
      <c r="I62" s="224"/>
      <c r="J62" s="223" t="e">
        <v>#REF!</v>
      </c>
      <c r="K62" s="213">
        <v>0</v>
      </c>
      <c r="L62" s="213">
        <v>0</v>
      </c>
      <c r="M62" s="213">
        <v>0</v>
      </c>
      <c r="N62" s="213">
        <v>0</v>
      </c>
      <c r="O62" s="213">
        <v>0</v>
      </c>
      <c r="P62" s="213">
        <v>0</v>
      </c>
      <c r="R62" s="146" t="str">
        <f t="shared" si="0"/>
        <v>MODULE진동감지용 PCB</v>
      </c>
    </row>
    <row r="63" spans="4:18" ht="23.1" customHeight="1">
      <c r="D63" s="227" t="s">
        <v>280</v>
      </c>
      <c r="E63" s="227" t="s">
        <v>281</v>
      </c>
      <c r="F63" s="240" t="s">
        <v>100</v>
      </c>
      <c r="G63" s="263">
        <v>1</v>
      </c>
      <c r="H63" s="147"/>
      <c r="I63" s="224"/>
      <c r="J63" s="223" t="e">
        <v>#REF!</v>
      </c>
      <c r="K63" s="213">
        <v>0</v>
      </c>
      <c r="L63" s="213">
        <v>0</v>
      </c>
      <c r="M63" s="213">
        <v>0</v>
      </c>
      <c r="N63" s="213">
        <v>0</v>
      </c>
      <c r="O63" s="213">
        <v>0</v>
      </c>
      <c r="P63" s="213">
        <v>0</v>
      </c>
      <c r="R63" s="146" t="str">
        <f t="shared" si="0"/>
        <v>CONTROLLERMAIN PCB (소음진동장치)</v>
      </c>
    </row>
    <row r="64" spans="4:18" ht="23.1" customHeight="1">
      <c r="D64" s="227" t="s">
        <v>282</v>
      </c>
      <c r="E64" s="227" t="s">
        <v>283</v>
      </c>
      <c r="F64" s="240" t="s">
        <v>100</v>
      </c>
      <c r="G64" s="263">
        <v>1</v>
      </c>
      <c r="H64" s="147"/>
      <c r="I64" s="224"/>
      <c r="J64" s="223" t="e">
        <v>#REF!</v>
      </c>
      <c r="K64" s="213">
        <v>0</v>
      </c>
      <c r="L64" s="213">
        <v>0</v>
      </c>
      <c r="M64" s="213">
        <v>0</v>
      </c>
      <c r="N64" s="213">
        <v>0</v>
      </c>
      <c r="O64" s="213">
        <v>0</v>
      </c>
      <c r="P64" s="213">
        <v>0</v>
      </c>
      <c r="R64" s="146" t="str">
        <f t="shared" si="0"/>
        <v>MAIN PCBEPD-03(전력계통이상표시</v>
      </c>
    </row>
    <row r="65" spans="1:18" ht="23.1" customHeight="1">
      <c r="D65" s="227" t="s">
        <v>284</v>
      </c>
      <c r="E65" s="227" t="s">
        <v>283</v>
      </c>
      <c r="F65" s="240" t="s">
        <v>100</v>
      </c>
      <c r="G65" s="263">
        <v>1</v>
      </c>
      <c r="H65" s="147"/>
      <c r="I65" s="224"/>
      <c r="J65" s="223" t="e">
        <v>#REF!</v>
      </c>
      <c r="K65" s="213">
        <v>0</v>
      </c>
      <c r="L65" s="213">
        <v>0</v>
      </c>
      <c r="M65" s="213">
        <v>0</v>
      </c>
      <c r="N65" s="213">
        <v>0</v>
      </c>
      <c r="O65" s="213">
        <v>0</v>
      </c>
      <c r="P65" s="213">
        <v>0</v>
      </c>
      <c r="R65" s="146" t="str">
        <f t="shared" si="0"/>
        <v>SUB PCBEPD-03(전력계통이상표시</v>
      </c>
    </row>
    <row r="66" spans="1:18" ht="23.1" customHeight="1">
      <c r="A66" s="219">
        <v>56959000395</v>
      </c>
      <c r="B66" s="218" t="s">
        <v>343</v>
      </c>
      <c r="C66" s="218" t="s">
        <v>348</v>
      </c>
      <c r="D66" s="227" t="s">
        <v>285</v>
      </c>
      <c r="E66" s="227" t="s">
        <v>283</v>
      </c>
      <c r="F66" s="240" t="s">
        <v>100</v>
      </c>
      <c r="G66" s="263">
        <v>1</v>
      </c>
      <c r="H66" s="147"/>
      <c r="I66" s="224"/>
      <c r="J66" s="223" t="e">
        <v>#REF!</v>
      </c>
      <c r="K66" s="213">
        <v>0</v>
      </c>
      <c r="L66" s="213">
        <v>0</v>
      </c>
      <c r="M66" s="213">
        <v>0</v>
      </c>
      <c r="N66" s="213">
        <v>0</v>
      </c>
      <c r="O66" s="213">
        <v>0</v>
      </c>
      <c r="P66" s="213">
        <v>0</v>
      </c>
      <c r="R66" s="146" t="str">
        <f t="shared" si="0"/>
        <v>DISPLAY PCBEPD-03(전력계통이상표시</v>
      </c>
    </row>
    <row r="67" spans="1:18" ht="23.1" customHeight="1">
      <c r="A67" s="219">
        <v>56959000396</v>
      </c>
      <c r="B67" s="218" t="s">
        <v>343</v>
      </c>
      <c r="C67" s="218" t="s">
        <v>349</v>
      </c>
      <c r="D67" s="227" t="s">
        <v>286</v>
      </c>
      <c r="E67" s="227" t="s">
        <v>283</v>
      </c>
      <c r="F67" s="240" t="s">
        <v>100</v>
      </c>
      <c r="G67" s="263">
        <v>1</v>
      </c>
      <c r="H67" s="147"/>
      <c r="I67" s="224"/>
      <c r="J67" s="223" t="e">
        <v>#REF!</v>
      </c>
      <c r="K67" s="213">
        <v>0</v>
      </c>
      <c r="L67" s="213">
        <v>0</v>
      </c>
      <c r="M67" s="213">
        <v>0</v>
      </c>
      <c r="N67" s="213">
        <v>0</v>
      </c>
      <c r="O67" s="213">
        <v>0</v>
      </c>
      <c r="P67" s="213">
        <v>0</v>
      </c>
      <c r="R67" s="146" t="str">
        <f t="shared" si="0"/>
        <v>SMPSEPD-03(전력계통이상표시</v>
      </c>
    </row>
    <row r="68" spans="1:18" ht="23.1" customHeight="1">
      <c r="A68" s="219">
        <v>56959000397</v>
      </c>
      <c r="B68" s="218" t="s">
        <v>343</v>
      </c>
      <c r="C68" s="218" t="s">
        <v>350</v>
      </c>
      <c r="D68" s="227" t="s">
        <v>287</v>
      </c>
      <c r="E68" s="227" t="s">
        <v>283</v>
      </c>
      <c r="F68" s="240" t="s">
        <v>100</v>
      </c>
      <c r="G68" s="263">
        <v>1</v>
      </c>
      <c r="H68" s="147"/>
      <c r="I68" s="224"/>
      <c r="J68" s="223" t="e">
        <v>#REF!</v>
      </c>
      <c r="K68" s="213">
        <v>0</v>
      </c>
      <c r="L68" s="213">
        <v>0</v>
      </c>
      <c r="M68" s="213">
        <v>0</v>
      </c>
      <c r="N68" s="213">
        <v>0</v>
      </c>
      <c r="O68" s="213">
        <v>0</v>
      </c>
      <c r="P68" s="213">
        <v>0</v>
      </c>
      <c r="R68" s="146" t="str">
        <f t="shared" si="0"/>
        <v>CASE SETEPD-03(전력계통이상표시</v>
      </c>
    </row>
    <row r="69" spans="1:18" ht="23.1" customHeight="1">
      <c r="A69" s="219">
        <v>56959000398</v>
      </c>
      <c r="B69" s="218" t="s">
        <v>343</v>
      </c>
      <c r="C69" s="218" t="s">
        <v>351</v>
      </c>
      <c r="D69" s="227" t="s">
        <v>288</v>
      </c>
      <c r="E69" s="227" t="s">
        <v>283</v>
      </c>
      <c r="F69" s="240" t="s">
        <v>100</v>
      </c>
      <c r="G69" s="263">
        <v>1</v>
      </c>
      <c r="H69" s="147"/>
      <c r="I69" s="224"/>
      <c r="J69" s="223" t="e">
        <v>#REF!</v>
      </c>
      <c r="K69" s="213">
        <v>0</v>
      </c>
      <c r="L69" s="213">
        <v>0</v>
      </c>
      <c r="M69" s="213">
        <v>0</v>
      </c>
      <c r="N69" s="213">
        <v>0</v>
      </c>
      <c r="O69" s="213">
        <v>0</v>
      </c>
      <c r="P69" s="213">
        <v>0</v>
      </c>
      <c r="R69" s="146" t="str">
        <f t="shared" si="0"/>
        <v>LOOP SYSTEMEPD-03(전력계통이상표시</v>
      </c>
    </row>
    <row r="70" spans="1:18" ht="23.1" customHeight="1">
      <c r="A70" s="219">
        <v>56959000418</v>
      </c>
      <c r="B70" s="218" t="s">
        <v>343</v>
      </c>
      <c r="C70" s="218" t="s">
        <v>352</v>
      </c>
      <c r="D70" s="227" t="s">
        <v>289</v>
      </c>
      <c r="E70" s="227" t="s">
        <v>290</v>
      </c>
      <c r="F70" s="240" t="s">
        <v>100</v>
      </c>
      <c r="G70" s="263">
        <v>4</v>
      </c>
      <c r="H70" s="147"/>
      <c r="I70" s="224"/>
      <c r="J70" s="223" t="e">
        <v>#REF!</v>
      </c>
      <c r="K70" s="213">
        <v>0</v>
      </c>
      <c r="L70" s="213">
        <v>0</v>
      </c>
      <c r="M70" s="213">
        <v>0</v>
      </c>
      <c r="N70" s="213">
        <v>0</v>
      </c>
      <c r="O70" s="213">
        <v>0</v>
      </c>
      <c r="P70" s="213">
        <v>0</v>
      </c>
      <c r="R70" s="146" t="str">
        <f t="shared" si="0"/>
        <v>케이스150*250*130mm</v>
      </c>
    </row>
    <row r="71" spans="1:18" ht="23.1" customHeight="1">
      <c r="D71" s="227" t="s">
        <v>291</v>
      </c>
      <c r="E71" s="227" t="s">
        <v>292</v>
      </c>
      <c r="F71" s="240" t="s">
        <v>293</v>
      </c>
      <c r="G71" s="263">
        <v>1</v>
      </c>
      <c r="H71" s="147"/>
      <c r="I71" s="224"/>
      <c r="J71" s="223" t="e">
        <v>#REF!</v>
      </c>
      <c r="K71" s="213">
        <v>0</v>
      </c>
      <c r="L71" s="213">
        <v>0</v>
      </c>
      <c r="M71" s="213">
        <v>0</v>
      </c>
      <c r="N71" s="213">
        <v>0</v>
      </c>
      <c r="O71" s="213">
        <v>0</v>
      </c>
      <c r="P71" s="213">
        <v>0</v>
      </c>
      <c r="R71" s="146" t="str">
        <f t="shared" si="0"/>
        <v>EMF - 7200kVA</v>
      </c>
    </row>
    <row r="72" spans="1:18" ht="23.1" customHeight="1">
      <c r="D72" s="227" t="s">
        <v>294</v>
      </c>
      <c r="E72" s="227" t="s">
        <v>295</v>
      </c>
      <c r="F72" s="240" t="s">
        <v>100</v>
      </c>
      <c r="G72" s="263">
        <v>8</v>
      </c>
      <c r="H72" s="147"/>
      <c r="I72" s="224"/>
      <c r="J72" s="223" t="e">
        <v>#REF!</v>
      </c>
      <c r="K72" s="213">
        <v>0</v>
      </c>
      <c r="L72" s="213">
        <v>0</v>
      </c>
      <c r="M72" s="213">
        <v>0</v>
      </c>
      <c r="N72" s="213">
        <v>0</v>
      </c>
      <c r="O72" s="213">
        <v>0</v>
      </c>
      <c r="P72" s="213">
        <v>0</v>
      </c>
      <c r="R72" s="146" t="str">
        <f t="shared" ref="R72:R108" si="1">CONCATENATE(D72,E72)</f>
        <v>아연도금동판150*250*2mm</v>
      </c>
    </row>
    <row r="73" spans="1:18" ht="23.1" customHeight="1">
      <c r="D73" s="227" t="s">
        <v>296</v>
      </c>
      <c r="E73" s="227" t="s">
        <v>297</v>
      </c>
      <c r="F73" s="240" t="s">
        <v>100</v>
      </c>
      <c r="G73" s="263">
        <v>12</v>
      </c>
      <c r="H73" s="147"/>
      <c r="I73" s="224"/>
      <c r="J73" s="223" t="e">
        <v>#REF!</v>
      </c>
      <c r="K73" s="213">
        <v>0</v>
      </c>
      <c r="L73" s="213">
        <v>0</v>
      </c>
      <c r="M73" s="213">
        <v>0</v>
      </c>
      <c r="N73" s="213">
        <v>0</v>
      </c>
      <c r="O73" s="213">
        <v>0</v>
      </c>
      <c r="P73" s="213">
        <v>0</v>
      </c>
      <c r="R73" s="146" t="str">
        <f t="shared" si="1"/>
        <v>케이블105℃/600V 22sq x 3M</v>
      </c>
    </row>
    <row r="74" spans="1:18" ht="23.1" customHeight="1">
      <c r="B74" s="218" t="s">
        <v>353</v>
      </c>
      <c r="D74" s="227" t="s">
        <v>354</v>
      </c>
      <c r="E74" s="227"/>
      <c r="F74" s="240" t="s">
        <v>355</v>
      </c>
      <c r="G74" s="263">
        <v>1</v>
      </c>
      <c r="H74" s="223"/>
      <c r="I74" s="224"/>
      <c r="J74" s="223"/>
      <c r="K74" s="213"/>
      <c r="L74" s="213"/>
      <c r="M74" s="213"/>
      <c r="N74" s="213">
        <v>23.983500000000003</v>
      </c>
      <c r="O74" s="213">
        <v>0.36799999999999999</v>
      </c>
      <c r="P74" s="213">
        <v>1.7712000000000001</v>
      </c>
      <c r="R74" s="146"/>
    </row>
    <row r="75" spans="1:18" ht="23.1" customHeight="1">
      <c r="D75" s="227"/>
      <c r="E75" s="227"/>
      <c r="F75" s="240"/>
      <c r="G75" s="263"/>
      <c r="H75" s="223"/>
      <c r="I75" s="224"/>
      <c r="J75" s="223"/>
      <c r="K75" s="213"/>
      <c r="L75" s="213"/>
      <c r="M75" s="213"/>
      <c r="N75" s="213"/>
      <c r="O75" s="213"/>
      <c r="P75" s="213"/>
      <c r="R75" s="146"/>
    </row>
    <row r="76" spans="1:18" ht="23.1" customHeight="1">
      <c r="D76" s="227" t="s">
        <v>356</v>
      </c>
      <c r="E76" s="227"/>
      <c r="F76" s="240"/>
      <c r="G76" s="263"/>
      <c r="H76" s="223"/>
      <c r="I76" s="224"/>
      <c r="J76" s="223"/>
      <c r="K76" s="213"/>
      <c r="L76" s="213"/>
      <c r="M76" s="213"/>
      <c r="N76" s="213"/>
      <c r="O76" s="213"/>
      <c r="P76" s="213"/>
      <c r="R76" s="146"/>
    </row>
    <row r="77" spans="1:18" ht="23.1" customHeight="1">
      <c r="D77" s="227" t="s">
        <v>84</v>
      </c>
      <c r="E77" s="243" t="s">
        <v>373</v>
      </c>
      <c r="F77" s="240" t="s">
        <v>105</v>
      </c>
      <c r="G77" s="264">
        <v>23.983500000000003</v>
      </c>
      <c r="H77" s="223"/>
      <c r="I77" s="224"/>
      <c r="J77" s="223" t="e">
        <v>#REF!</v>
      </c>
      <c r="K77" s="213">
        <v>0</v>
      </c>
      <c r="L77" s="213">
        <v>0</v>
      </c>
      <c r="M77" s="213">
        <v>0</v>
      </c>
      <c r="N77" s="213">
        <v>0</v>
      </c>
      <c r="O77" s="213">
        <v>0</v>
      </c>
      <c r="P77" s="213">
        <v>0</v>
      </c>
      <c r="R77" s="146"/>
    </row>
    <row r="78" spans="1:18" ht="23.1" customHeight="1">
      <c r="D78" s="227" t="s">
        <v>84</v>
      </c>
      <c r="E78" s="243" t="s">
        <v>106</v>
      </c>
      <c r="F78" s="240" t="s">
        <v>105</v>
      </c>
      <c r="G78" s="264">
        <v>0.36799999999999999</v>
      </c>
      <c r="H78" s="223"/>
      <c r="I78" s="224"/>
      <c r="J78" s="223" t="e">
        <v>#REF!</v>
      </c>
      <c r="K78" s="213">
        <v>0</v>
      </c>
      <c r="L78" s="213">
        <v>0</v>
      </c>
      <c r="M78" s="213">
        <v>0</v>
      </c>
      <c r="N78" s="213">
        <v>0</v>
      </c>
      <c r="O78" s="213">
        <v>0</v>
      </c>
      <c r="P78" s="213">
        <v>0</v>
      </c>
      <c r="R78" s="146"/>
    </row>
    <row r="79" spans="1:18" ht="23.1" customHeight="1">
      <c r="D79" s="227" t="s">
        <v>84</v>
      </c>
      <c r="E79" s="243" t="s">
        <v>107</v>
      </c>
      <c r="F79" s="240" t="s">
        <v>105</v>
      </c>
      <c r="G79" s="264">
        <v>1.7712000000000001</v>
      </c>
      <c r="H79" s="223"/>
      <c r="I79" s="224"/>
      <c r="J79" s="223" t="e">
        <v>#REF!</v>
      </c>
      <c r="K79" s="213">
        <v>0</v>
      </c>
      <c r="L79" s="213">
        <v>0</v>
      </c>
      <c r="M79" s="213">
        <v>0</v>
      </c>
      <c r="N79" s="213">
        <v>0</v>
      </c>
      <c r="O79" s="213">
        <v>0</v>
      </c>
      <c r="P79" s="213">
        <v>0</v>
      </c>
      <c r="R79" s="146"/>
    </row>
    <row r="80" spans="1:18" ht="23.1" customHeight="1">
      <c r="B80" s="218" t="s">
        <v>353</v>
      </c>
      <c r="D80" s="227" t="s">
        <v>357</v>
      </c>
      <c r="E80" s="227"/>
      <c r="F80" s="240" t="s">
        <v>355</v>
      </c>
      <c r="G80" s="264">
        <v>1</v>
      </c>
      <c r="H80" s="223"/>
      <c r="I80" s="224"/>
      <c r="J80" s="223"/>
      <c r="K80" s="213">
        <v>0</v>
      </c>
      <c r="L80" s="213">
        <v>0</v>
      </c>
      <c r="M80" s="213">
        <v>0</v>
      </c>
      <c r="N80" s="213">
        <v>0</v>
      </c>
      <c r="O80" s="213">
        <v>0</v>
      </c>
      <c r="P80" s="213">
        <v>0</v>
      </c>
      <c r="R80" s="146"/>
    </row>
    <row r="81" spans="1:18" ht="23.1" customHeight="1">
      <c r="D81" s="227"/>
      <c r="E81" s="227"/>
      <c r="F81" s="240"/>
      <c r="G81" s="263"/>
      <c r="H81" s="223"/>
      <c r="I81" s="224"/>
      <c r="J81" s="223"/>
      <c r="K81" s="213"/>
      <c r="L81" s="213"/>
      <c r="M81" s="213"/>
      <c r="N81" s="213"/>
      <c r="O81" s="213"/>
      <c r="P81" s="213"/>
      <c r="R81" s="146"/>
    </row>
    <row r="82" spans="1:18" ht="23.1" customHeight="1">
      <c r="B82" s="218" t="s">
        <v>340</v>
      </c>
      <c r="D82" s="237" t="s">
        <v>358</v>
      </c>
      <c r="E82" s="238"/>
      <c r="F82" s="238"/>
      <c r="G82" s="262"/>
      <c r="H82" s="239"/>
      <c r="I82" s="239"/>
      <c r="J82" s="239"/>
      <c r="K82" s="213"/>
      <c r="L82" s="213"/>
      <c r="M82" s="213"/>
      <c r="N82" s="213"/>
      <c r="O82" s="213"/>
      <c r="P82" s="213"/>
      <c r="R82" s="146" t="str">
        <f t="shared" si="1"/>
        <v>2.LV-2(800Wx2850Hx2500D)</v>
      </c>
    </row>
    <row r="83" spans="1:18" ht="22.5" customHeight="1">
      <c r="D83" s="227" t="s">
        <v>342</v>
      </c>
      <c r="E83" s="227"/>
      <c r="F83" s="240"/>
      <c r="G83" s="263"/>
      <c r="H83" s="223"/>
      <c r="I83" s="224"/>
      <c r="J83" s="223"/>
      <c r="K83" s="213"/>
      <c r="L83" s="213"/>
      <c r="M83" s="213"/>
      <c r="N83" s="213"/>
      <c r="O83" s="213"/>
      <c r="P83" s="213"/>
      <c r="R83" s="146" t="str">
        <f t="shared" si="1"/>
        <v>(1) 재료비</v>
      </c>
    </row>
    <row r="84" spans="1:18" ht="23.1" customHeight="1">
      <c r="A84" s="219">
        <v>56959000389</v>
      </c>
      <c r="B84" s="218" t="s">
        <v>343</v>
      </c>
      <c r="C84" s="218" t="s">
        <v>344</v>
      </c>
      <c r="D84" s="227" t="s">
        <v>179</v>
      </c>
      <c r="E84" s="227" t="s">
        <v>180</v>
      </c>
      <c r="F84" s="240" t="s">
        <v>59</v>
      </c>
      <c r="G84" s="263">
        <v>1</v>
      </c>
      <c r="H84" s="147"/>
      <c r="I84" s="224"/>
      <c r="J84" s="223" t="e">
        <v>#REF!</v>
      </c>
      <c r="K84" s="213">
        <v>0</v>
      </c>
      <c r="L84" s="213">
        <v>0</v>
      </c>
      <c r="M84" s="213">
        <v>0</v>
      </c>
      <c r="N84" s="213">
        <v>0</v>
      </c>
      <c r="O84" s="213">
        <v>0</v>
      </c>
      <c r="P84" s="213">
        <v>0</v>
      </c>
      <c r="R84" s="146" t="str">
        <f t="shared" si="1"/>
        <v>외함800Wx2850Hx2500D</v>
      </c>
    </row>
    <row r="85" spans="1:18" ht="23.1" customHeight="1">
      <c r="A85" s="219">
        <v>56959000390</v>
      </c>
      <c r="B85" s="218" t="s">
        <v>343</v>
      </c>
      <c r="C85" s="218" t="s">
        <v>345</v>
      </c>
      <c r="D85" s="227" t="s">
        <v>181</v>
      </c>
      <c r="E85" s="227" t="s">
        <v>182</v>
      </c>
      <c r="F85" s="240" t="s">
        <v>183</v>
      </c>
      <c r="G85" s="263">
        <v>1</v>
      </c>
      <c r="H85" s="147"/>
      <c r="I85" s="224"/>
      <c r="J85" s="223" t="e">
        <v>#REF!</v>
      </c>
      <c r="K85" s="213">
        <v>0.33</v>
      </c>
      <c r="L85" s="213">
        <v>0</v>
      </c>
      <c r="M85" s="213">
        <v>0</v>
      </c>
      <c r="N85" s="213">
        <v>0.33</v>
      </c>
      <c r="O85" s="213">
        <v>0</v>
      </c>
      <c r="P85" s="213">
        <v>0</v>
      </c>
      <c r="R85" s="146" t="str">
        <f t="shared" si="1"/>
        <v>소공간자동소화장치4kg</v>
      </c>
    </row>
    <row r="86" spans="1:18" ht="23.1" customHeight="1">
      <c r="A86" s="219">
        <v>56959000391</v>
      </c>
      <c r="B86" s="218" t="s">
        <v>343</v>
      </c>
      <c r="C86" s="218" t="s">
        <v>346</v>
      </c>
      <c r="D86" s="227" t="s">
        <v>184</v>
      </c>
      <c r="E86" s="227" t="s">
        <v>185</v>
      </c>
      <c r="F86" s="240" t="s">
        <v>186</v>
      </c>
      <c r="G86" s="263">
        <v>2</v>
      </c>
      <c r="H86" s="147"/>
      <c r="I86" s="224"/>
      <c r="J86" s="223" t="e">
        <v>#REF!</v>
      </c>
      <c r="K86" s="213">
        <v>0</v>
      </c>
      <c r="L86" s="213">
        <v>0</v>
      </c>
      <c r="M86" s="213">
        <v>0</v>
      </c>
      <c r="N86" s="213">
        <v>0</v>
      </c>
      <c r="O86" s="213">
        <v>0</v>
      </c>
      <c r="P86" s="213">
        <v>0</v>
      </c>
      <c r="R86" s="146" t="str">
        <f t="shared" si="1"/>
        <v>DOOR HANDLEW/KEY (L)</v>
      </c>
    </row>
    <row r="87" spans="1:18" ht="23.1" customHeight="1">
      <c r="A87" s="219">
        <v>56959000392</v>
      </c>
      <c r="B87" s="218" t="s">
        <v>343</v>
      </c>
      <c r="C87" s="218" t="s">
        <v>347</v>
      </c>
      <c r="D87" s="227" t="s">
        <v>298</v>
      </c>
      <c r="E87" s="227" t="s">
        <v>299</v>
      </c>
      <c r="F87" s="240" t="s">
        <v>243</v>
      </c>
      <c r="G87" s="263">
        <v>1.36</v>
      </c>
      <c r="H87" s="147"/>
      <c r="I87" s="224"/>
      <c r="J87" s="223" t="e">
        <v>#REF!</v>
      </c>
      <c r="K87" s="213">
        <v>0</v>
      </c>
      <c r="L87" s="213">
        <v>0</v>
      </c>
      <c r="M87" s="213">
        <v>0</v>
      </c>
      <c r="N87" s="213">
        <v>0</v>
      </c>
      <c r="O87" s="213">
        <v>0</v>
      </c>
      <c r="P87" s="213">
        <v>0</v>
      </c>
      <c r="R87" s="146" t="str">
        <f t="shared" si="1"/>
        <v>P-COVER1710 H x 800 : 1 개</v>
      </c>
    </row>
    <row r="88" spans="1:18" ht="23.1" customHeight="1">
      <c r="A88" s="219">
        <v>56959000395</v>
      </c>
      <c r="B88" s="218" t="s">
        <v>343</v>
      </c>
      <c r="C88" s="218" t="s">
        <v>348</v>
      </c>
      <c r="D88" s="227" t="s">
        <v>104</v>
      </c>
      <c r="E88" s="227"/>
      <c r="F88" s="240" t="s">
        <v>186</v>
      </c>
      <c r="G88" s="263">
        <v>2</v>
      </c>
      <c r="H88" s="147"/>
      <c r="I88" s="224"/>
      <c r="J88" s="223" t="e">
        <v>#REF!</v>
      </c>
      <c r="K88" s="213">
        <v>0</v>
      </c>
      <c r="L88" s="213">
        <v>0</v>
      </c>
      <c r="M88" s="213">
        <v>0</v>
      </c>
      <c r="N88" s="213">
        <v>0</v>
      </c>
      <c r="O88" s="213">
        <v>0</v>
      </c>
      <c r="P88" s="213">
        <v>0</v>
      </c>
      <c r="R88" s="146" t="str">
        <f t="shared" si="1"/>
        <v>DOOR STOPPER</v>
      </c>
    </row>
    <row r="89" spans="1:18" ht="23.1" customHeight="1">
      <c r="A89" s="219">
        <v>56959000396</v>
      </c>
      <c r="B89" s="218" t="s">
        <v>343</v>
      </c>
      <c r="C89" s="218" t="s">
        <v>349</v>
      </c>
      <c r="D89" s="227" t="s">
        <v>99</v>
      </c>
      <c r="E89" s="227" t="s">
        <v>187</v>
      </c>
      <c r="F89" s="240" t="s">
        <v>186</v>
      </c>
      <c r="G89" s="263">
        <v>2</v>
      </c>
      <c r="H89" s="147"/>
      <c r="I89" s="224"/>
      <c r="J89" s="223" t="e">
        <v>#REF!</v>
      </c>
      <c r="K89" s="213">
        <v>0</v>
      </c>
      <c r="L89" s="213">
        <v>0</v>
      </c>
      <c r="M89" s="213">
        <v>0</v>
      </c>
      <c r="N89" s="213">
        <v>0</v>
      </c>
      <c r="O89" s="213">
        <v>0</v>
      </c>
      <c r="P89" s="213">
        <v>0</v>
      </c>
      <c r="R89" s="146" t="str">
        <f t="shared" si="1"/>
        <v>NAME PLATE아크릴(L)</v>
      </c>
    </row>
    <row r="90" spans="1:18" ht="23.1" customHeight="1">
      <c r="A90" s="219">
        <v>56959000397</v>
      </c>
      <c r="B90" s="218" t="s">
        <v>343</v>
      </c>
      <c r="C90" s="218" t="s">
        <v>350</v>
      </c>
      <c r="D90" s="227" t="s">
        <v>188</v>
      </c>
      <c r="E90" s="227" t="s">
        <v>189</v>
      </c>
      <c r="F90" s="240" t="s">
        <v>186</v>
      </c>
      <c r="G90" s="263">
        <v>2</v>
      </c>
      <c r="H90" s="147"/>
      <c r="I90" s="224"/>
      <c r="J90" s="223" t="e">
        <v>#REF!</v>
      </c>
      <c r="K90" s="213">
        <v>0.18</v>
      </c>
      <c r="L90" s="213">
        <v>0</v>
      </c>
      <c r="M90" s="213">
        <v>0</v>
      </c>
      <c r="N90" s="213">
        <v>0.36</v>
      </c>
      <c r="O90" s="213">
        <v>0</v>
      </c>
      <c r="P90" s="213">
        <v>0</v>
      </c>
      <c r="R90" s="146" t="str">
        <f t="shared" si="1"/>
        <v>M C C B2P 220V 50AF 10kA</v>
      </c>
    </row>
    <row r="91" spans="1:18" ht="23.1" customHeight="1">
      <c r="A91" s="219">
        <v>56959000398</v>
      </c>
      <c r="B91" s="218" t="s">
        <v>343</v>
      </c>
      <c r="C91" s="218" t="s">
        <v>351</v>
      </c>
      <c r="D91" s="227" t="s">
        <v>190</v>
      </c>
      <c r="E91" s="227" t="s">
        <v>191</v>
      </c>
      <c r="F91" s="240" t="s">
        <v>186</v>
      </c>
      <c r="G91" s="263">
        <v>3</v>
      </c>
      <c r="H91" s="147"/>
      <c r="I91" s="224"/>
      <c r="J91" s="223" t="e">
        <v>#REF!</v>
      </c>
      <c r="K91" s="213">
        <v>0</v>
      </c>
      <c r="L91" s="213">
        <v>0</v>
      </c>
      <c r="M91" s="213">
        <v>0</v>
      </c>
      <c r="N91" s="213">
        <v>0</v>
      </c>
      <c r="O91" s="213">
        <v>0</v>
      </c>
      <c r="P91" s="213">
        <v>0</v>
      </c>
      <c r="R91" s="146" t="str">
        <f t="shared" si="1"/>
        <v>DIAZED FUSE25A 이하 W/HOLDER</v>
      </c>
    </row>
    <row r="92" spans="1:18" ht="23.1" customHeight="1">
      <c r="A92" s="219">
        <v>56959000418</v>
      </c>
      <c r="B92" s="218" t="s">
        <v>343</v>
      </c>
      <c r="C92" s="218" t="s">
        <v>352</v>
      </c>
      <c r="D92" s="227" t="s">
        <v>192</v>
      </c>
      <c r="E92" s="227" t="s">
        <v>193</v>
      </c>
      <c r="F92" s="240" t="s">
        <v>186</v>
      </c>
      <c r="G92" s="263">
        <v>2</v>
      </c>
      <c r="H92" s="147"/>
      <c r="I92" s="224"/>
      <c r="J92" s="223" t="e">
        <v>#REF!</v>
      </c>
      <c r="K92" s="213">
        <v>0.14000000000000001</v>
      </c>
      <c r="L92" s="213">
        <v>0</v>
      </c>
      <c r="M92" s="213">
        <v>0</v>
      </c>
      <c r="N92" s="213">
        <v>0.28000000000000003</v>
      </c>
      <c r="O92" s="213">
        <v>0</v>
      </c>
      <c r="P92" s="213">
        <v>0</v>
      </c>
      <c r="R92" s="146" t="str">
        <f t="shared" si="1"/>
        <v>F LAC 220V 20W</v>
      </c>
    </row>
    <row r="93" spans="1:18" ht="23.1" customHeight="1">
      <c r="D93" s="227" t="s">
        <v>194</v>
      </c>
      <c r="E93" s="227" t="s">
        <v>195</v>
      </c>
      <c r="F93" s="240" t="s">
        <v>186</v>
      </c>
      <c r="G93" s="263">
        <v>2</v>
      </c>
      <c r="H93" s="147"/>
      <c r="I93" s="224"/>
      <c r="J93" s="223" t="e">
        <v>#REF!</v>
      </c>
      <c r="K93" s="213">
        <v>0.1</v>
      </c>
      <c r="L93" s="213">
        <v>0</v>
      </c>
      <c r="M93" s="213">
        <v>0</v>
      </c>
      <c r="N93" s="213">
        <v>0.2</v>
      </c>
      <c r="O93" s="213">
        <v>0</v>
      </c>
      <c r="P93" s="213">
        <v>0</v>
      </c>
      <c r="R93" s="146" t="str">
        <f t="shared" si="1"/>
        <v>LIMIT S/WAC 220V 1a 1b</v>
      </c>
    </row>
    <row r="94" spans="1:18" ht="23.1" customHeight="1">
      <c r="D94" s="227" t="s">
        <v>102</v>
      </c>
      <c r="E94" s="227" t="s">
        <v>196</v>
      </c>
      <c r="F94" s="240" t="s">
        <v>186</v>
      </c>
      <c r="G94" s="263">
        <v>1</v>
      </c>
      <c r="H94" s="147"/>
      <c r="I94" s="224"/>
      <c r="J94" s="223" t="e">
        <v>#REF!</v>
      </c>
      <c r="K94" s="213">
        <v>0.4</v>
      </c>
      <c r="L94" s="213">
        <v>0</v>
      </c>
      <c r="M94" s="213">
        <v>0</v>
      </c>
      <c r="N94" s="213">
        <v>0.4</v>
      </c>
      <c r="O94" s="213">
        <v>0</v>
      </c>
      <c r="P94" s="213">
        <v>0</v>
      </c>
      <c r="R94" s="146" t="str">
        <f t="shared" si="1"/>
        <v>SPACE HEATERAC 220V 100W</v>
      </c>
    </row>
    <row r="95" spans="1:18" ht="23.1" customHeight="1">
      <c r="D95" s="227" t="s">
        <v>197</v>
      </c>
      <c r="E95" s="227" t="s">
        <v>198</v>
      </c>
      <c r="F95" s="240" t="s">
        <v>186</v>
      </c>
      <c r="G95" s="263">
        <v>1</v>
      </c>
      <c r="H95" s="147"/>
      <c r="I95" s="224"/>
      <c r="J95" s="223" t="e">
        <v>#REF!</v>
      </c>
      <c r="K95" s="213">
        <v>0.2</v>
      </c>
      <c r="L95" s="213">
        <v>0</v>
      </c>
      <c r="M95" s="213">
        <v>0</v>
      </c>
      <c r="N95" s="213">
        <v>0.2</v>
      </c>
      <c r="O95" s="213">
        <v>0</v>
      </c>
      <c r="P95" s="213">
        <v>0</v>
      </c>
      <c r="R95" s="146" t="str">
        <f t="shared" si="1"/>
        <v>THERMOSTAT250V 0-250℃</v>
      </c>
    </row>
    <row r="96" spans="1:18" ht="23.1" customHeight="1">
      <c r="D96" s="227" t="s">
        <v>199</v>
      </c>
      <c r="E96" s="227" t="s">
        <v>200</v>
      </c>
      <c r="F96" s="240" t="s">
        <v>186</v>
      </c>
      <c r="G96" s="263">
        <v>1</v>
      </c>
      <c r="H96" s="147"/>
      <c r="I96" s="224"/>
      <c r="J96" s="223" t="e">
        <v>#REF!</v>
      </c>
      <c r="K96" s="213">
        <v>0.08</v>
      </c>
      <c r="L96" s="213">
        <v>0</v>
      </c>
      <c r="M96" s="213">
        <v>0</v>
      </c>
      <c r="N96" s="213">
        <v>0.08</v>
      </c>
      <c r="O96" s="213">
        <v>0</v>
      </c>
      <c r="P96" s="213">
        <v>0</v>
      </c>
      <c r="R96" s="146" t="str">
        <f t="shared" si="1"/>
        <v>CONSENT2P AC 220V 15A</v>
      </c>
    </row>
    <row r="97" spans="1:18" ht="23.1" customHeight="1">
      <c r="D97" s="227" t="s">
        <v>300</v>
      </c>
      <c r="E97" s="227" t="s">
        <v>202</v>
      </c>
      <c r="F97" s="240" t="s">
        <v>203</v>
      </c>
      <c r="G97" s="263">
        <v>12.32</v>
      </c>
      <c r="H97" s="147"/>
      <c r="I97" s="224"/>
      <c r="J97" s="223" t="e">
        <v>#REF!</v>
      </c>
      <c r="K97" s="213">
        <v>0</v>
      </c>
      <c r="L97" s="213">
        <v>0</v>
      </c>
      <c r="M97" s="213">
        <v>0</v>
      </c>
      <c r="N97" s="213">
        <v>0</v>
      </c>
      <c r="O97" s="213">
        <v>0</v>
      </c>
      <c r="P97" s="213">
        <v>0</v>
      </c>
      <c r="R97" s="146" t="str">
        <f t="shared" si="1"/>
        <v>BUS BAR6.0 mm x 50 mm</v>
      </c>
    </row>
    <row r="98" spans="1:18" ht="23.1" customHeight="1">
      <c r="D98" s="227" t="s">
        <v>204</v>
      </c>
      <c r="E98" s="227" t="s">
        <v>205</v>
      </c>
      <c r="F98" s="240" t="s">
        <v>203</v>
      </c>
      <c r="G98" s="263">
        <v>12.32</v>
      </c>
      <c r="H98" s="147"/>
      <c r="I98" s="224"/>
      <c r="J98" s="223" t="e">
        <v>#REF!</v>
      </c>
      <c r="K98" s="213">
        <v>0</v>
      </c>
      <c r="L98" s="213">
        <v>0</v>
      </c>
      <c r="M98" s="213">
        <v>0</v>
      </c>
      <c r="N98" s="213">
        <v>0</v>
      </c>
      <c r="O98" s="213">
        <v>0</v>
      </c>
      <c r="P98" s="213">
        <v>0</v>
      </c>
      <c r="R98" s="146" t="str">
        <f t="shared" si="1"/>
        <v>AIR THRINK TUBE (600V이하)6T x 50</v>
      </c>
    </row>
    <row r="99" spans="1:18" ht="23.1" customHeight="1">
      <c r="D99" s="227" t="s">
        <v>300</v>
      </c>
      <c r="E99" s="227" t="s">
        <v>301</v>
      </c>
      <c r="F99" s="240" t="s">
        <v>203</v>
      </c>
      <c r="G99" s="263">
        <v>43.5</v>
      </c>
      <c r="H99" s="147"/>
      <c r="I99" s="224"/>
      <c r="J99" s="223" t="e">
        <v>#REF!</v>
      </c>
      <c r="K99" s="213">
        <v>0</v>
      </c>
      <c r="L99" s="213">
        <v>0</v>
      </c>
      <c r="M99" s="213">
        <v>0</v>
      </c>
      <c r="N99" s="213">
        <v>0</v>
      </c>
      <c r="O99" s="213">
        <v>0</v>
      </c>
      <c r="P99" s="213">
        <v>0</v>
      </c>
      <c r="R99" s="146" t="str">
        <f t="shared" si="1"/>
        <v>BUS BAR3.0 mm x 15 mm</v>
      </c>
    </row>
    <row r="100" spans="1:18" ht="23.1" customHeight="1">
      <c r="D100" s="227" t="s">
        <v>206</v>
      </c>
      <c r="E100" s="227" t="s">
        <v>207</v>
      </c>
      <c r="F100" s="240" t="s">
        <v>208</v>
      </c>
      <c r="G100" s="263">
        <v>50.31</v>
      </c>
      <c r="H100" s="147"/>
      <c r="I100" s="224"/>
      <c r="J100" s="223" t="e">
        <v>#REF!</v>
      </c>
      <c r="K100" s="213">
        <v>0</v>
      </c>
      <c r="L100" s="213">
        <v>0</v>
      </c>
      <c r="M100" s="213">
        <v>0</v>
      </c>
      <c r="N100" s="213">
        <v>0</v>
      </c>
      <c r="O100" s="213">
        <v>0</v>
      </c>
      <c r="P100" s="213">
        <v>0</v>
      </c>
      <c r="R100" s="146" t="str">
        <f t="shared" si="1"/>
        <v>BUS BAR COATINGAG</v>
      </c>
    </row>
    <row r="101" spans="1:18" ht="23.1" customHeight="1">
      <c r="D101" s="227" t="s">
        <v>209</v>
      </c>
      <c r="E101" s="227" t="s">
        <v>210</v>
      </c>
      <c r="F101" s="240" t="s">
        <v>203</v>
      </c>
      <c r="G101" s="263">
        <v>0.8</v>
      </c>
      <c r="H101" s="147"/>
      <c r="I101" s="224"/>
      <c r="J101" s="223" t="e">
        <v>#REF!</v>
      </c>
      <c r="K101" s="213">
        <v>0.09</v>
      </c>
      <c r="L101" s="213">
        <v>0</v>
      </c>
      <c r="M101" s="213">
        <v>7.0000000000000007E-2</v>
      </c>
      <c r="N101" s="213">
        <v>7.1999999999999995E-2</v>
      </c>
      <c r="O101" s="213">
        <v>0</v>
      </c>
      <c r="P101" s="213">
        <v>5.6000000000000008E-2</v>
      </c>
      <c r="R101" s="146" t="str">
        <f t="shared" si="1"/>
        <v>EARTH BAR3.0 mm x 30 mm</v>
      </c>
    </row>
    <row r="102" spans="1:18" ht="23.1" customHeight="1">
      <c r="D102" s="227" t="s">
        <v>211</v>
      </c>
      <c r="E102" s="227" t="s">
        <v>212</v>
      </c>
      <c r="F102" s="240" t="s">
        <v>203</v>
      </c>
      <c r="G102" s="263">
        <v>4</v>
      </c>
      <c r="H102" s="147"/>
      <c r="I102" s="224"/>
      <c r="J102" s="223" t="e">
        <v>#REF!</v>
      </c>
      <c r="K102" s="213">
        <v>0</v>
      </c>
      <c r="L102" s="213">
        <v>8.0000000000000002E-3</v>
      </c>
      <c r="M102" s="213">
        <v>0</v>
      </c>
      <c r="N102" s="213">
        <v>0</v>
      </c>
      <c r="O102" s="213">
        <v>3.2000000000000001E-2</v>
      </c>
      <c r="P102" s="213">
        <v>0</v>
      </c>
      <c r="R102" s="146" t="str">
        <f t="shared" si="1"/>
        <v>EARTH WIREF-GV 70㎟</v>
      </c>
    </row>
    <row r="103" spans="1:18" ht="23.1" customHeight="1">
      <c r="D103" s="227" t="s">
        <v>213</v>
      </c>
      <c r="E103" s="227" t="s">
        <v>214</v>
      </c>
      <c r="F103" s="240" t="s">
        <v>186</v>
      </c>
      <c r="G103" s="263">
        <v>1</v>
      </c>
      <c r="H103" s="147"/>
      <c r="I103" s="224"/>
      <c r="J103" s="223" t="e">
        <v>#REF!</v>
      </c>
      <c r="K103" s="213">
        <v>0</v>
      </c>
      <c r="L103" s="213">
        <v>1.6E-2</v>
      </c>
      <c r="M103" s="213">
        <v>0</v>
      </c>
      <c r="N103" s="213">
        <v>0</v>
      </c>
      <c r="O103" s="213">
        <v>1.6E-2</v>
      </c>
      <c r="P103" s="213">
        <v>0</v>
      </c>
      <c r="R103" s="146" t="str">
        <f t="shared" si="1"/>
        <v>EARTH TERMINAL70㎟</v>
      </c>
    </row>
    <row r="104" spans="1:18" ht="23.1" customHeight="1">
      <c r="D104" s="227" t="s">
        <v>302</v>
      </c>
      <c r="E104" s="227" t="s">
        <v>303</v>
      </c>
      <c r="F104" s="240" t="s">
        <v>186</v>
      </c>
      <c r="G104" s="263">
        <v>1</v>
      </c>
      <c r="H104" s="147"/>
      <c r="I104" s="224"/>
      <c r="J104" s="223" t="e">
        <v>#REF!</v>
      </c>
      <c r="K104" s="213">
        <v>0.38</v>
      </c>
      <c r="L104" s="213">
        <v>0</v>
      </c>
      <c r="M104" s="213">
        <v>0</v>
      </c>
      <c r="N104" s="213">
        <v>0.38</v>
      </c>
      <c r="O104" s="213">
        <v>0</v>
      </c>
      <c r="P104" s="213">
        <v>0</v>
      </c>
      <c r="R104" s="146" t="str">
        <f t="shared" si="1"/>
        <v>E L D10C (MICOM)</v>
      </c>
    </row>
    <row r="105" spans="1:18" ht="23.1" customHeight="1">
      <c r="D105" s="227" t="s">
        <v>304</v>
      </c>
      <c r="E105" s="227" t="s">
        <v>305</v>
      </c>
      <c r="F105" s="240" t="s">
        <v>186</v>
      </c>
      <c r="G105" s="263">
        <v>8</v>
      </c>
      <c r="H105" s="147"/>
      <c r="I105" s="224"/>
      <c r="J105" s="223" t="e">
        <v>#REF!</v>
      </c>
      <c r="K105" s="213">
        <v>0.33</v>
      </c>
      <c r="L105" s="213">
        <v>0</v>
      </c>
      <c r="M105" s="213">
        <v>0</v>
      </c>
      <c r="N105" s="213">
        <v>2.64</v>
      </c>
      <c r="O105" s="213">
        <v>0</v>
      </c>
      <c r="P105" s="213">
        <v>0</v>
      </c>
      <c r="R105" s="146" t="str">
        <f t="shared" si="1"/>
        <v>M C C B (표준형)4P 600V 50AF</v>
      </c>
    </row>
    <row r="106" spans="1:18" ht="23.1" customHeight="1">
      <c r="D106" s="227" t="s">
        <v>306</v>
      </c>
      <c r="E106" s="227" t="s">
        <v>307</v>
      </c>
      <c r="F106" s="240" t="s">
        <v>186</v>
      </c>
      <c r="G106" s="263">
        <v>13</v>
      </c>
      <c r="H106" s="147"/>
      <c r="I106" s="224"/>
      <c r="J106" s="223" t="e">
        <v>#REF!</v>
      </c>
      <c r="K106" s="213">
        <v>0.13</v>
      </c>
      <c r="L106" s="213">
        <v>0</v>
      </c>
      <c r="M106" s="213">
        <v>0</v>
      </c>
      <c r="N106" s="213">
        <v>1.69</v>
      </c>
      <c r="O106" s="213">
        <v>0</v>
      </c>
      <c r="P106" s="213">
        <v>0</v>
      </c>
      <c r="R106" s="146" t="str">
        <f t="shared" si="1"/>
        <v>E L C B  (분전반)110/220V 2P 30AF</v>
      </c>
    </row>
    <row r="107" spans="1:18" ht="23.1" customHeight="1">
      <c r="D107" s="227" t="s">
        <v>308</v>
      </c>
      <c r="E107" s="227" t="s">
        <v>309</v>
      </c>
      <c r="F107" s="240" t="s">
        <v>186</v>
      </c>
      <c r="G107" s="263">
        <v>8</v>
      </c>
      <c r="H107" s="147"/>
      <c r="I107" s="224"/>
      <c r="J107" s="223" t="e">
        <v>#REF!</v>
      </c>
      <c r="K107" s="213">
        <v>1.1000000000000001</v>
      </c>
      <c r="L107" s="213">
        <v>0</v>
      </c>
      <c r="M107" s="213">
        <v>0.35</v>
      </c>
      <c r="N107" s="213">
        <v>8.8000000000000007</v>
      </c>
      <c r="O107" s="213">
        <v>0</v>
      </c>
      <c r="P107" s="213">
        <v>2.8</v>
      </c>
      <c r="R107" s="146" t="str">
        <f t="shared" si="1"/>
        <v>Z C T100A  (ELD용)</v>
      </c>
    </row>
    <row r="108" spans="1:18" ht="23.1" customHeight="1">
      <c r="D108" s="227" t="s">
        <v>310</v>
      </c>
      <c r="E108" s="227" t="s">
        <v>311</v>
      </c>
      <c r="F108" s="240" t="s">
        <v>217</v>
      </c>
      <c r="G108" s="263">
        <v>13</v>
      </c>
      <c r="H108" s="147"/>
      <c r="I108" s="224"/>
      <c r="J108" s="223" t="e">
        <v>#REF!</v>
      </c>
      <c r="K108" s="213">
        <v>0.3</v>
      </c>
      <c r="L108" s="213">
        <v>0</v>
      </c>
      <c r="M108" s="213">
        <v>0</v>
      </c>
      <c r="N108" s="213">
        <v>3.9</v>
      </c>
      <c r="O108" s="213">
        <v>0</v>
      </c>
      <c r="P108" s="213">
        <v>0</v>
      </c>
      <c r="R108" s="146" t="str">
        <f t="shared" si="1"/>
        <v>M C (GMC-32)7.5kW/220V  15kW/440V</v>
      </c>
    </row>
    <row r="109" spans="1:18" ht="23.1" customHeight="1">
      <c r="A109" s="219">
        <v>56959000395</v>
      </c>
      <c r="B109" s="218" t="s">
        <v>343</v>
      </c>
      <c r="C109" s="218" t="s">
        <v>348</v>
      </c>
      <c r="D109" s="227" t="s">
        <v>312</v>
      </c>
      <c r="E109" s="227" t="s">
        <v>313</v>
      </c>
      <c r="F109" s="240" t="s">
        <v>217</v>
      </c>
      <c r="G109" s="263">
        <v>8</v>
      </c>
      <c r="H109" s="147"/>
      <c r="I109" s="224"/>
      <c r="J109" s="223" t="e">
        <v>#REF!</v>
      </c>
      <c r="K109" s="213">
        <v>0.45</v>
      </c>
      <c r="L109" s="213">
        <v>0</v>
      </c>
      <c r="M109" s="213">
        <v>0</v>
      </c>
      <c r="N109" s="213">
        <v>3.6</v>
      </c>
      <c r="O109" s="213">
        <v>0</v>
      </c>
      <c r="P109" s="213">
        <v>0</v>
      </c>
      <c r="R109" s="146" t="str">
        <f t="shared" ref="R109:R154" si="2">CONCATENATE(D109,E109)</f>
        <v>M C (GMC-75)22kW/220V   37kW/440V</v>
      </c>
    </row>
    <row r="110" spans="1:18" ht="23.1" customHeight="1">
      <c r="A110" s="219">
        <v>56959000396</v>
      </c>
      <c r="B110" s="218" t="s">
        <v>343</v>
      </c>
      <c r="C110" s="218" t="s">
        <v>349</v>
      </c>
      <c r="D110" s="227" t="s">
        <v>359</v>
      </c>
      <c r="E110" s="227" t="s">
        <v>405</v>
      </c>
      <c r="F110" s="240" t="s">
        <v>217</v>
      </c>
      <c r="G110" s="263">
        <v>1</v>
      </c>
      <c r="H110" s="147"/>
      <c r="I110" s="224"/>
      <c r="J110" s="223" t="e">
        <v>#REF!</v>
      </c>
      <c r="K110" s="213">
        <v>0.21</v>
      </c>
      <c r="L110" s="213">
        <v>0</v>
      </c>
      <c r="M110" s="213">
        <v>0</v>
      </c>
      <c r="N110" s="213">
        <v>0.21</v>
      </c>
      <c r="O110" s="213">
        <v>0</v>
      </c>
      <c r="P110" s="213">
        <v>0</v>
      </c>
      <c r="R110" s="146" t="str">
        <f t="shared" si="2"/>
        <v>가로등(터널등)제어기조도제어5단계</v>
      </c>
    </row>
    <row r="111" spans="1:18" ht="23.1" customHeight="1">
      <c r="A111" s="219">
        <v>56959000397</v>
      </c>
      <c r="B111" s="218" t="s">
        <v>343</v>
      </c>
      <c r="C111" s="218" t="s">
        <v>350</v>
      </c>
      <c r="D111" s="227" t="s">
        <v>239</v>
      </c>
      <c r="E111" s="227" t="s">
        <v>240</v>
      </c>
      <c r="F111" s="240" t="s">
        <v>186</v>
      </c>
      <c r="G111" s="263">
        <v>16</v>
      </c>
      <c r="H111" s="147"/>
      <c r="I111" s="224"/>
      <c r="J111" s="223" t="e">
        <v>#REF!</v>
      </c>
      <c r="K111" s="213">
        <v>0.02</v>
      </c>
      <c r="L111" s="213">
        <v>0</v>
      </c>
      <c r="M111" s="213">
        <v>0</v>
      </c>
      <c r="N111" s="213">
        <v>0.32</v>
      </c>
      <c r="O111" s="213">
        <v>0</v>
      </c>
      <c r="P111" s="213">
        <v>0</v>
      </c>
      <c r="R111" s="146" t="str">
        <f t="shared" si="2"/>
        <v>EPOXY INSULATOR600V 40x40mm</v>
      </c>
    </row>
    <row r="112" spans="1:18" ht="23.1" customHeight="1">
      <c r="A112" s="219">
        <v>56959000398</v>
      </c>
      <c r="B112" s="218" t="s">
        <v>343</v>
      </c>
      <c r="C112" s="218" t="s">
        <v>351</v>
      </c>
      <c r="D112" s="227" t="s">
        <v>241</v>
      </c>
      <c r="E112" s="227" t="s">
        <v>242</v>
      </c>
      <c r="F112" s="240" t="s">
        <v>243</v>
      </c>
      <c r="G112" s="263">
        <v>1.2</v>
      </c>
      <c r="H112" s="147"/>
      <c r="I112" s="224"/>
      <c r="J112" s="223" t="e">
        <v>#REF!</v>
      </c>
      <c r="K112" s="213">
        <v>0</v>
      </c>
      <c r="L112" s="213">
        <v>0</v>
      </c>
      <c r="M112" s="213">
        <v>0</v>
      </c>
      <c r="N112" s="213">
        <v>0</v>
      </c>
      <c r="O112" s="213">
        <v>0</v>
      </c>
      <c r="P112" s="213">
        <v>0</v>
      </c>
      <c r="R112" s="146" t="str">
        <f t="shared" si="2"/>
        <v>BAKELITE PLATE5tx400x600</v>
      </c>
    </row>
    <row r="113" spans="1:18" ht="23.1" customHeight="1">
      <c r="A113" s="219">
        <v>56959000418</v>
      </c>
      <c r="B113" s="218" t="s">
        <v>343</v>
      </c>
      <c r="C113" s="218" t="s">
        <v>352</v>
      </c>
      <c r="D113" s="227" t="s">
        <v>103</v>
      </c>
      <c r="E113" s="227" t="s">
        <v>244</v>
      </c>
      <c r="F113" s="240" t="s">
        <v>186</v>
      </c>
      <c r="G113" s="263">
        <v>2</v>
      </c>
      <c r="H113" s="147"/>
      <c r="I113" s="224"/>
      <c r="J113" s="223" t="e">
        <v>#REF!</v>
      </c>
      <c r="K113" s="213">
        <v>0.22</v>
      </c>
      <c r="L113" s="213">
        <v>0</v>
      </c>
      <c r="M113" s="213">
        <v>0</v>
      </c>
      <c r="N113" s="213">
        <v>0.44</v>
      </c>
      <c r="O113" s="213">
        <v>0</v>
      </c>
      <c r="P113" s="213">
        <v>0</v>
      </c>
      <c r="R113" s="146" t="str">
        <f t="shared" si="2"/>
        <v>PVC DUCT30x40x2m W/COVER</v>
      </c>
    </row>
    <row r="114" spans="1:18" ht="23.1" customHeight="1">
      <c r="D114" s="227" t="s">
        <v>103</v>
      </c>
      <c r="E114" s="227" t="s">
        <v>245</v>
      </c>
      <c r="F114" s="240" t="s">
        <v>186</v>
      </c>
      <c r="G114" s="263">
        <v>3</v>
      </c>
      <c r="H114" s="147"/>
      <c r="I114" s="224"/>
      <c r="J114" s="223" t="e">
        <v>#REF!</v>
      </c>
      <c r="K114" s="213">
        <v>0.22</v>
      </c>
      <c r="L114" s="213">
        <v>0</v>
      </c>
      <c r="M114" s="213">
        <v>0</v>
      </c>
      <c r="N114" s="213">
        <v>0.66</v>
      </c>
      <c r="O114" s="213">
        <v>0</v>
      </c>
      <c r="P114" s="213">
        <v>0</v>
      </c>
      <c r="R114" s="146" t="str">
        <f t="shared" si="2"/>
        <v>PVC DUCT40x60x2m W/COVER</v>
      </c>
    </row>
    <row r="115" spans="1:18" ht="23.1" customHeight="1">
      <c r="D115" s="227" t="s">
        <v>246</v>
      </c>
      <c r="E115" s="227" t="s">
        <v>247</v>
      </c>
      <c r="F115" s="240" t="s">
        <v>186</v>
      </c>
      <c r="G115" s="263">
        <v>3</v>
      </c>
      <c r="H115" s="147"/>
      <c r="I115" s="224"/>
      <c r="J115" s="223" t="e">
        <v>#REF!</v>
      </c>
      <c r="K115" s="213">
        <v>0</v>
      </c>
      <c r="L115" s="213">
        <v>0</v>
      </c>
      <c r="M115" s="213">
        <v>0</v>
      </c>
      <c r="N115" s="213">
        <v>0</v>
      </c>
      <c r="O115" s="213">
        <v>0</v>
      </c>
      <c r="P115" s="213">
        <v>0</v>
      </c>
      <c r="R115" s="146" t="str">
        <f t="shared" si="2"/>
        <v>단자대(TB)10P 30A</v>
      </c>
    </row>
    <row r="116" spans="1:18" ht="23.1" customHeight="1">
      <c r="D116" s="227" t="s">
        <v>251</v>
      </c>
      <c r="E116" s="227" t="s">
        <v>315</v>
      </c>
      <c r="F116" s="240" t="s">
        <v>203</v>
      </c>
      <c r="G116" s="263">
        <v>31.2</v>
      </c>
      <c r="H116" s="147"/>
      <c r="I116" s="224"/>
      <c r="J116" s="223" t="e">
        <v>#REF!</v>
      </c>
      <c r="K116" s="213">
        <v>0</v>
      </c>
      <c r="L116" s="213">
        <v>0.02</v>
      </c>
      <c r="M116" s="213">
        <v>0</v>
      </c>
      <c r="N116" s="213">
        <v>0</v>
      </c>
      <c r="O116" s="213">
        <v>0.624</v>
      </c>
      <c r="P116" s="213">
        <v>0</v>
      </c>
      <c r="R116" s="146" t="str">
        <f t="shared" si="2"/>
        <v>LOAD WIREKIV 10㎟</v>
      </c>
    </row>
    <row r="117" spans="1:18" ht="23.1" customHeight="1">
      <c r="D117" s="227" t="s">
        <v>251</v>
      </c>
      <c r="E117" s="227" t="s">
        <v>316</v>
      </c>
      <c r="F117" s="240" t="s">
        <v>203</v>
      </c>
      <c r="G117" s="263">
        <v>38.4</v>
      </c>
      <c r="H117" s="147"/>
      <c r="I117" s="224"/>
      <c r="J117" s="223" t="e">
        <v>#REF!</v>
      </c>
      <c r="K117" s="213">
        <v>0</v>
      </c>
      <c r="L117" s="213">
        <v>0.02</v>
      </c>
      <c r="M117" s="213">
        <v>0</v>
      </c>
      <c r="N117" s="213">
        <v>0</v>
      </c>
      <c r="O117" s="213">
        <v>0.76800000000000002</v>
      </c>
      <c r="P117" s="213">
        <v>0</v>
      </c>
      <c r="R117" s="146" t="str">
        <f t="shared" si="2"/>
        <v>LOAD WIREKIV 16㎟</v>
      </c>
    </row>
    <row r="118" spans="1:18" ht="23.1" customHeight="1">
      <c r="D118" s="227" t="s">
        <v>253</v>
      </c>
      <c r="E118" s="227" t="s">
        <v>317</v>
      </c>
      <c r="F118" s="240" t="s">
        <v>186</v>
      </c>
      <c r="G118" s="263">
        <v>13</v>
      </c>
      <c r="H118" s="147"/>
      <c r="I118" s="224"/>
      <c r="J118" s="223" t="e">
        <v>#REF!</v>
      </c>
      <c r="K118" s="213">
        <v>0</v>
      </c>
      <c r="L118" s="213">
        <v>0</v>
      </c>
      <c r="M118" s="213">
        <v>0</v>
      </c>
      <c r="N118" s="213">
        <v>0</v>
      </c>
      <c r="O118" s="213">
        <v>0</v>
      </c>
      <c r="P118" s="213">
        <v>0</v>
      </c>
      <c r="R118" s="146" t="str">
        <f t="shared" si="2"/>
        <v>LOAD TB2P 30A</v>
      </c>
    </row>
    <row r="119" spans="1:18" ht="23.1" customHeight="1">
      <c r="D119" s="227" t="s">
        <v>253</v>
      </c>
      <c r="E119" s="227" t="s">
        <v>318</v>
      </c>
      <c r="F119" s="240" t="s">
        <v>186</v>
      </c>
      <c r="G119" s="263">
        <v>8</v>
      </c>
      <c r="H119" s="147"/>
      <c r="I119" s="224"/>
      <c r="J119" s="223" t="e">
        <v>#REF!</v>
      </c>
      <c r="K119" s="213">
        <v>0</v>
      </c>
      <c r="L119" s="213">
        <v>0</v>
      </c>
      <c r="M119" s="213">
        <v>0</v>
      </c>
      <c r="N119" s="213">
        <v>0</v>
      </c>
      <c r="O119" s="213">
        <v>0</v>
      </c>
      <c r="P119" s="213">
        <v>0</v>
      </c>
      <c r="R119" s="146" t="str">
        <f t="shared" si="2"/>
        <v>LOAD TB4P 60A</v>
      </c>
    </row>
    <row r="120" spans="1:18" ht="23.1" customHeight="1">
      <c r="D120" s="227" t="s">
        <v>255</v>
      </c>
      <c r="E120" s="227" t="s">
        <v>319</v>
      </c>
      <c r="F120" s="240" t="s">
        <v>186</v>
      </c>
      <c r="G120" s="263">
        <v>52</v>
      </c>
      <c r="H120" s="147"/>
      <c r="I120" s="224"/>
      <c r="J120" s="223" t="e">
        <v>#REF!</v>
      </c>
      <c r="K120" s="213">
        <v>0</v>
      </c>
      <c r="L120" s="213">
        <v>0</v>
      </c>
      <c r="M120" s="213">
        <v>0</v>
      </c>
      <c r="N120" s="213">
        <v>0</v>
      </c>
      <c r="O120" s="213">
        <v>0</v>
      </c>
      <c r="P120" s="213">
        <v>0</v>
      </c>
      <c r="R120" s="146" t="str">
        <f t="shared" si="2"/>
        <v>TERMINAL LUG10㎟</v>
      </c>
    </row>
    <row r="121" spans="1:18" ht="23.1" customHeight="1">
      <c r="D121" s="227" t="s">
        <v>255</v>
      </c>
      <c r="E121" s="227" t="s">
        <v>320</v>
      </c>
      <c r="F121" s="240" t="s">
        <v>186</v>
      </c>
      <c r="G121" s="263">
        <v>64</v>
      </c>
      <c r="H121" s="147"/>
      <c r="I121" s="224"/>
      <c r="J121" s="223" t="e">
        <v>#REF!</v>
      </c>
      <c r="K121" s="213">
        <v>0</v>
      </c>
      <c r="L121" s="213">
        <v>0</v>
      </c>
      <c r="M121" s="213">
        <v>0</v>
      </c>
      <c r="N121" s="213">
        <v>0</v>
      </c>
      <c r="O121" s="213">
        <v>0</v>
      </c>
      <c r="P121" s="213">
        <v>0</v>
      </c>
      <c r="R121" s="146" t="str">
        <f t="shared" si="2"/>
        <v>TERMINAL LUG16㎟</v>
      </c>
    </row>
    <row r="122" spans="1:18" ht="23.1" customHeight="1">
      <c r="D122" s="227" t="s">
        <v>257</v>
      </c>
      <c r="E122" s="227" t="s">
        <v>258</v>
      </c>
      <c r="F122" s="240" t="s">
        <v>203</v>
      </c>
      <c r="G122" s="263">
        <v>21.9</v>
      </c>
      <c r="H122" s="147"/>
      <c r="I122" s="224"/>
      <c r="J122" s="223" t="e">
        <v>#REF!</v>
      </c>
      <c r="K122" s="213">
        <v>0.05</v>
      </c>
      <c r="L122" s="213">
        <v>0</v>
      </c>
      <c r="M122" s="213">
        <v>0</v>
      </c>
      <c r="N122" s="213">
        <v>1.095</v>
      </c>
      <c r="O122" s="213">
        <v>0</v>
      </c>
      <c r="P122" s="213">
        <v>0</v>
      </c>
      <c r="R122" s="146" t="str">
        <f t="shared" si="2"/>
        <v>이면배선 (IEC)KIV 2.5㎟</v>
      </c>
    </row>
    <row r="123" spans="1:18" ht="23.1" customHeight="1">
      <c r="D123" s="227" t="s">
        <v>257</v>
      </c>
      <c r="E123" s="227" t="s">
        <v>259</v>
      </c>
      <c r="F123" s="240" t="s">
        <v>203</v>
      </c>
      <c r="G123" s="263">
        <v>32.85</v>
      </c>
      <c r="H123" s="147"/>
      <c r="I123" s="224"/>
      <c r="J123" s="223" t="e">
        <v>#REF!</v>
      </c>
      <c r="K123" s="213">
        <v>0.05</v>
      </c>
      <c r="L123" s="213">
        <v>0</v>
      </c>
      <c r="M123" s="213">
        <v>0</v>
      </c>
      <c r="N123" s="213">
        <v>1.6425000000000001</v>
      </c>
      <c r="O123" s="213">
        <v>0</v>
      </c>
      <c r="P123" s="213">
        <v>0</v>
      </c>
      <c r="R123" s="146" t="str">
        <f t="shared" si="2"/>
        <v>이면배선 (IEC)KIV 4㎟</v>
      </c>
    </row>
    <row r="124" spans="1:18" ht="23.1" customHeight="1">
      <c r="D124" s="227" t="s">
        <v>260</v>
      </c>
      <c r="E124" s="227" t="s">
        <v>261</v>
      </c>
      <c r="F124" s="240" t="s">
        <v>100</v>
      </c>
      <c r="G124" s="263">
        <v>4</v>
      </c>
      <c r="H124" s="147"/>
      <c r="I124" s="224"/>
      <c r="J124" s="223" t="e">
        <v>#REF!</v>
      </c>
      <c r="K124" s="213">
        <v>0</v>
      </c>
      <c r="L124" s="213">
        <v>0</v>
      </c>
      <c r="M124" s="213">
        <v>0</v>
      </c>
      <c r="N124" s="213">
        <v>0</v>
      </c>
      <c r="O124" s="213">
        <v>0</v>
      </c>
      <c r="P124" s="213">
        <v>0</v>
      </c>
      <c r="R124" s="146" t="str">
        <f t="shared" si="2"/>
        <v>육각BOLTM14 x 100 H/T</v>
      </c>
    </row>
    <row r="125" spans="1:18" ht="23.1" customHeight="1">
      <c r="D125" s="227" t="s">
        <v>262</v>
      </c>
      <c r="E125" s="227" t="s">
        <v>263</v>
      </c>
      <c r="F125" s="240" t="s">
        <v>100</v>
      </c>
      <c r="G125" s="263">
        <v>8</v>
      </c>
      <c r="H125" s="147"/>
      <c r="I125" s="224"/>
      <c r="J125" s="223" t="e">
        <v>#REF!</v>
      </c>
      <c r="K125" s="213">
        <v>0</v>
      </c>
      <c r="L125" s="213">
        <v>0</v>
      </c>
      <c r="M125" s="213">
        <v>0</v>
      </c>
      <c r="N125" s="213">
        <v>0</v>
      </c>
      <c r="O125" s="213">
        <v>0</v>
      </c>
      <c r="P125" s="213">
        <v>0</v>
      </c>
      <c r="R125" s="146" t="str">
        <f t="shared" si="2"/>
        <v>NUTM14 H/T</v>
      </c>
    </row>
    <row r="126" spans="1:18" ht="23.1" customHeight="1">
      <c r="D126" s="227" t="s">
        <v>264</v>
      </c>
      <c r="E126" s="227" t="s">
        <v>263</v>
      </c>
      <c r="F126" s="240" t="s">
        <v>100</v>
      </c>
      <c r="G126" s="263">
        <v>4</v>
      </c>
      <c r="H126" s="147"/>
      <c r="I126" s="224"/>
      <c r="J126" s="223" t="e">
        <v>#REF!</v>
      </c>
      <c r="K126" s="213">
        <v>0</v>
      </c>
      <c r="L126" s="213">
        <v>0</v>
      </c>
      <c r="M126" s="213">
        <v>0</v>
      </c>
      <c r="N126" s="213">
        <v>0</v>
      </c>
      <c r="O126" s="213">
        <v>0</v>
      </c>
      <c r="P126" s="213">
        <v>0</v>
      </c>
      <c r="R126" s="146" t="str">
        <f t="shared" si="2"/>
        <v>평와샤M14 H/T</v>
      </c>
    </row>
    <row r="127" spans="1:18" ht="23.1" customHeight="1">
      <c r="D127" s="227" t="s">
        <v>265</v>
      </c>
      <c r="E127" s="227" t="s">
        <v>266</v>
      </c>
      <c r="F127" s="240" t="s">
        <v>100</v>
      </c>
      <c r="G127" s="263">
        <v>4</v>
      </c>
      <c r="H127" s="147"/>
      <c r="I127" s="224"/>
      <c r="J127" s="223" t="e">
        <v>#REF!</v>
      </c>
      <c r="K127" s="213">
        <v>0</v>
      </c>
      <c r="L127" s="213">
        <v>0</v>
      </c>
      <c r="M127" s="213">
        <v>0</v>
      </c>
      <c r="N127" s="213">
        <v>0</v>
      </c>
      <c r="O127" s="213">
        <v>0</v>
      </c>
      <c r="P127" s="213">
        <v>0</v>
      </c>
      <c r="R127" s="146" t="str">
        <f t="shared" si="2"/>
        <v>금형SPRINGCB 30 x 25 갈색</v>
      </c>
    </row>
    <row r="128" spans="1:18" ht="23.1" customHeight="1">
      <c r="D128" s="227" t="s">
        <v>267</v>
      </c>
      <c r="E128" s="227" t="s">
        <v>268</v>
      </c>
      <c r="F128" s="240" t="s">
        <v>100</v>
      </c>
      <c r="G128" s="263">
        <v>8</v>
      </c>
      <c r="H128" s="147"/>
      <c r="I128" s="224"/>
      <c r="J128" s="223" t="e">
        <v>#REF!</v>
      </c>
      <c r="K128" s="213">
        <v>0</v>
      </c>
      <c r="L128" s="213">
        <v>0</v>
      </c>
      <c r="M128" s="213">
        <v>0</v>
      </c>
      <c r="N128" s="213">
        <v>0</v>
      </c>
      <c r="O128" s="213">
        <v>0</v>
      </c>
      <c r="P128" s="213">
        <v>0</v>
      </c>
      <c r="R128" s="146" t="str">
        <f t="shared" si="2"/>
        <v>SPERICAL WASHER3A01 흑색착색</v>
      </c>
    </row>
    <row r="129" spans="1:18" ht="23.1" customHeight="1">
      <c r="D129" s="227" t="s">
        <v>269</v>
      </c>
      <c r="E129" s="227" t="s">
        <v>270</v>
      </c>
      <c r="F129" s="240" t="s">
        <v>100</v>
      </c>
      <c r="G129" s="263">
        <v>8</v>
      </c>
      <c r="H129" s="147"/>
      <c r="I129" s="224"/>
      <c r="J129" s="223" t="e">
        <v>#REF!</v>
      </c>
      <c r="K129" s="213">
        <v>0</v>
      </c>
      <c r="L129" s="213">
        <v>0</v>
      </c>
      <c r="M129" s="213">
        <v>0</v>
      </c>
      <c r="N129" s="213">
        <v>0</v>
      </c>
      <c r="O129" s="213">
        <v>0</v>
      </c>
      <c r="P129" s="213">
        <v>0</v>
      </c>
      <c r="R129" s="146" t="str">
        <f t="shared" si="2"/>
        <v>SPERICAL WASHER BASE3A02 흑색착색</v>
      </c>
    </row>
    <row r="130" spans="1:18" ht="23.1" customHeight="1">
      <c r="D130" s="227" t="s">
        <v>271</v>
      </c>
      <c r="E130" s="227" t="s">
        <v>272</v>
      </c>
      <c r="F130" s="240" t="s">
        <v>100</v>
      </c>
      <c r="G130" s="263">
        <v>8</v>
      </c>
      <c r="H130" s="147"/>
      <c r="I130" s="224"/>
      <c r="J130" s="223" t="e">
        <v>#REF!</v>
      </c>
      <c r="K130" s="213">
        <v>0</v>
      </c>
      <c r="L130" s="213">
        <v>0</v>
      </c>
      <c r="M130" s="213">
        <v>0</v>
      </c>
      <c r="N130" s="213">
        <v>0</v>
      </c>
      <c r="O130" s="213">
        <v>0</v>
      </c>
      <c r="P130" s="213">
        <v>0</v>
      </c>
      <c r="R130" s="146" t="str">
        <f t="shared" si="2"/>
        <v>BASE WASHER3A03 흑색착색</v>
      </c>
    </row>
    <row r="131" spans="1:18" ht="23.1" customHeight="1">
      <c r="D131" s="227" t="s">
        <v>273</v>
      </c>
      <c r="E131" s="227" t="s">
        <v>274</v>
      </c>
      <c r="F131" s="240" t="s">
        <v>100</v>
      </c>
      <c r="G131" s="263">
        <v>4</v>
      </c>
      <c r="H131" s="147"/>
      <c r="I131" s="224"/>
      <c r="J131" s="223" t="e">
        <v>#REF!</v>
      </c>
      <c r="K131" s="213">
        <v>0</v>
      </c>
      <c r="L131" s="213">
        <v>0</v>
      </c>
      <c r="M131" s="213">
        <v>0</v>
      </c>
      <c r="N131" s="213">
        <v>0</v>
      </c>
      <c r="O131" s="213">
        <v>0</v>
      </c>
      <c r="P131" s="213">
        <v>0</v>
      </c>
      <c r="R131" s="146" t="str">
        <f t="shared" si="2"/>
        <v>내진BOLT GUIDE3A04</v>
      </c>
    </row>
    <row r="132" spans="1:18" ht="23.1" customHeight="1">
      <c r="D132" s="227" t="s">
        <v>275</v>
      </c>
      <c r="E132" s="227"/>
      <c r="F132" s="240" t="s">
        <v>100</v>
      </c>
      <c r="G132" s="263">
        <v>4</v>
      </c>
      <c r="H132" s="147"/>
      <c r="I132" s="224"/>
      <c r="J132" s="223" t="e">
        <v>#REF!</v>
      </c>
      <c r="K132" s="213">
        <v>0</v>
      </c>
      <c r="L132" s="213">
        <v>0</v>
      </c>
      <c r="M132" s="213">
        <v>0</v>
      </c>
      <c r="N132" s="213">
        <v>0</v>
      </c>
      <c r="O132" s="213">
        <v>0</v>
      </c>
      <c r="P132" s="213">
        <v>0</v>
      </c>
      <c r="R132" s="146" t="str">
        <f t="shared" si="2"/>
        <v>3t 우레탄 고무판</v>
      </c>
    </row>
    <row r="133" spans="1:18" ht="23.1" customHeight="1">
      <c r="D133" s="227" t="s">
        <v>276</v>
      </c>
      <c r="E133" s="227"/>
      <c r="F133" s="240" t="s">
        <v>100</v>
      </c>
      <c r="G133" s="263">
        <v>2</v>
      </c>
      <c r="H133" s="147"/>
      <c r="I133" s="224"/>
      <c r="J133" s="223" t="e">
        <v>#REF!</v>
      </c>
      <c r="K133" s="213">
        <v>0</v>
      </c>
      <c r="L133" s="213">
        <v>0</v>
      </c>
      <c r="M133" s="213">
        <v>0</v>
      </c>
      <c r="N133" s="213">
        <v>0</v>
      </c>
      <c r="O133" s="213">
        <v>0</v>
      </c>
      <c r="P133" s="213">
        <v>0</v>
      </c>
      <c r="R133" s="146" t="str">
        <f t="shared" si="2"/>
        <v>내진BASE</v>
      </c>
    </row>
    <row r="134" spans="1:18" ht="23.1" customHeight="1">
      <c r="B134" s="218" t="s">
        <v>353</v>
      </c>
      <c r="D134" s="227" t="s">
        <v>354</v>
      </c>
      <c r="E134" s="227"/>
      <c r="F134" s="240" t="s">
        <v>355</v>
      </c>
      <c r="G134" s="263">
        <v>1</v>
      </c>
      <c r="H134" s="223"/>
      <c r="I134" s="224"/>
      <c r="J134" s="223"/>
      <c r="K134" s="213"/>
      <c r="L134" s="213"/>
      <c r="M134" s="213"/>
      <c r="N134" s="213">
        <v>27.299500000000002</v>
      </c>
      <c r="O134" s="213">
        <v>1.44</v>
      </c>
      <c r="P134" s="213">
        <v>2.8559999999999999</v>
      </c>
      <c r="R134" s="146" t="str">
        <f t="shared" si="2"/>
        <v>( 재료비 소계 )</v>
      </c>
    </row>
    <row r="135" spans="1:18" ht="23.1" customHeight="1">
      <c r="D135" s="227"/>
      <c r="E135" s="227"/>
      <c r="F135" s="240"/>
      <c r="G135" s="263"/>
      <c r="H135" s="223"/>
      <c r="I135" s="224"/>
      <c r="J135" s="223"/>
      <c r="K135" s="213"/>
      <c r="L135" s="213"/>
      <c r="M135" s="213"/>
      <c r="N135" s="213"/>
      <c r="O135" s="213"/>
      <c r="P135" s="213"/>
      <c r="R135" s="146" t="str">
        <f t="shared" si="2"/>
        <v/>
      </c>
    </row>
    <row r="136" spans="1:18" ht="23.1" customHeight="1">
      <c r="D136" s="227" t="s">
        <v>356</v>
      </c>
      <c r="E136" s="227"/>
      <c r="F136" s="240"/>
      <c r="G136" s="263"/>
      <c r="H136" s="223"/>
      <c r="I136" s="224"/>
      <c r="J136" s="223"/>
      <c r="K136" s="213"/>
      <c r="L136" s="213"/>
      <c r="M136" s="213"/>
      <c r="N136" s="213"/>
      <c r="O136" s="213"/>
      <c r="P136" s="213"/>
      <c r="R136" s="146" t="str">
        <f t="shared" si="2"/>
        <v>(2) 산출노무비</v>
      </c>
    </row>
    <row r="137" spans="1:18" ht="23.1" customHeight="1">
      <c r="D137" s="227" t="s">
        <v>84</v>
      </c>
      <c r="E137" s="243" t="s">
        <v>373</v>
      </c>
      <c r="F137" s="240" t="s">
        <v>105</v>
      </c>
      <c r="G137" s="264">
        <v>27.299500000000002</v>
      </c>
      <c r="H137" s="223"/>
      <c r="I137" s="224"/>
      <c r="J137" s="223" t="e">
        <v>#REF!</v>
      </c>
      <c r="K137" s="213"/>
      <c r="L137" s="213"/>
      <c r="M137" s="213"/>
      <c r="N137" s="213"/>
      <c r="O137" s="213"/>
      <c r="P137" s="213"/>
      <c r="R137" s="146" t="str">
        <f t="shared" si="2"/>
        <v>노 무 비전기기계조립원</v>
      </c>
    </row>
    <row r="138" spans="1:18" ht="23.1" customHeight="1">
      <c r="D138" s="227" t="s">
        <v>84</v>
      </c>
      <c r="E138" s="243" t="s">
        <v>106</v>
      </c>
      <c r="F138" s="240" t="s">
        <v>105</v>
      </c>
      <c r="G138" s="264">
        <v>1.44</v>
      </c>
      <c r="H138" s="223"/>
      <c r="I138" s="224"/>
      <c r="J138" s="223" t="e">
        <v>#REF!</v>
      </c>
      <c r="K138" s="213"/>
      <c r="L138" s="213"/>
      <c r="M138" s="213"/>
      <c r="N138" s="213"/>
      <c r="O138" s="213"/>
      <c r="P138" s="213"/>
      <c r="R138" s="146" t="str">
        <f t="shared" si="2"/>
        <v>노 무 비전선원</v>
      </c>
    </row>
    <row r="139" spans="1:18" ht="23.1" customHeight="1">
      <c r="D139" s="227" t="s">
        <v>84</v>
      </c>
      <c r="E139" s="243" t="s">
        <v>107</v>
      </c>
      <c r="F139" s="240" t="s">
        <v>105</v>
      </c>
      <c r="G139" s="264">
        <v>2.8559999999999999</v>
      </c>
      <c r="H139" s="223"/>
      <c r="I139" s="224"/>
      <c r="J139" s="223" t="e">
        <v>#REF!</v>
      </c>
      <c r="K139" s="213"/>
      <c r="L139" s="213"/>
      <c r="M139" s="213"/>
      <c r="N139" s="213"/>
      <c r="O139" s="213"/>
      <c r="P139" s="213"/>
      <c r="R139" s="146" t="str">
        <f t="shared" si="2"/>
        <v>노 무 비단순노무종사원</v>
      </c>
    </row>
    <row r="140" spans="1:18" ht="23.1" customHeight="1">
      <c r="B140" s="218" t="s">
        <v>353</v>
      </c>
      <c r="D140" s="227" t="s">
        <v>357</v>
      </c>
      <c r="E140" s="227"/>
      <c r="F140" s="240" t="s">
        <v>355</v>
      </c>
      <c r="G140" s="264">
        <v>1</v>
      </c>
      <c r="H140" s="223"/>
      <c r="I140" s="224"/>
      <c r="J140" s="223"/>
      <c r="K140" s="213"/>
      <c r="L140" s="213"/>
      <c r="M140" s="213"/>
      <c r="N140" s="213"/>
      <c r="O140" s="213"/>
      <c r="P140" s="213"/>
      <c r="R140" s="146" t="str">
        <f t="shared" si="2"/>
        <v>( 노무비 소계 )</v>
      </c>
    </row>
    <row r="141" spans="1:18" ht="22.5" customHeight="1">
      <c r="D141" s="227"/>
      <c r="E141" s="227"/>
      <c r="F141" s="240"/>
      <c r="G141" s="263"/>
      <c r="H141" s="223"/>
      <c r="I141" s="224"/>
      <c r="J141" s="223"/>
      <c r="K141" s="213"/>
      <c r="L141" s="213"/>
      <c r="M141" s="213"/>
      <c r="N141" s="213"/>
      <c r="O141" s="213"/>
      <c r="P141" s="213"/>
      <c r="R141" s="146" t="str">
        <f t="shared" si="2"/>
        <v/>
      </c>
    </row>
    <row r="142" spans="1:18" ht="23.1" customHeight="1">
      <c r="B142" s="218" t="s">
        <v>340</v>
      </c>
      <c r="D142" s="237" t="s">
        <v>360</v>
      </c>
      <c r="E142" s="238"/>
      <c r="F142" s="238"/>
      <c r="G142" s="262"/>
      <c r="H142" s="239"/>
      <c r="I142" s="239"/>
      <c r="J142" s="239"/>
      <c r="K142" s="213"/>
      <c r="L142" s="213"/>
      <c r="M142" s="213"/>
      <c r="N142" s="213"/>
      <c r="O142" s="213"/>
      <c r="P142" s="213"/>
      <c r="R142" s="146" t="str">
        <f t="shared" si="2"/>
        <v>3.T-02ㆍ2000Wx2850Hx2500D</v>
      </c>
    </row>
    <row r="143" spans="1:18" ht="22.5" customHeight="1">
      <c r="D143" s="227" t="s">
        <v>342</v>
      </c>
      <c r="E143" s="227"/>
      <c r="F143" s="240"/>
      <c r="G143" s="263"/>
      <c r="H143" s="223"/>
      <c r="I143" s="224"/>
      <c r="J143" s="223"/>
      <c r="K143" s="213"/>
      <c r="L143" s="213"/>
      <c r="M143" s="213"/>
      <c r="N143" s="213"/>
      <c r="O143" s="213"/>
      <c r="P143" s="213"/>
      <c r="R143" s="146" t="str">
        <f t="shared" si="2"/>
        <v>(1) 재료비</v>
      </c>
    </row>
    <row r="144" spans="1:18" ht="23.1" customHeight="1">
      <c r="A144" s="219">
        <v>56959000389</v>
      </c>
      <c r="B144" s="218" t="s">
        <v>343</v>
      </c>
      <c r="C144" s="218" t="s">
        <v>344</v>
      </c>
      <c r="D144" s="227" t="s">
        <v>179</v>
      </c>
      <c r="E144" s="227" t="s">
        <v>321</v>
      </c>
      <c r="F144" s="240" t="s">
        <v>59</v>
      </c>
      <c r="G144" s="263" t="s">
        <v>361</v>
      </c>
      <c r="H144" s="147"/>
      <c r="I144" s="224"/>
      <c r="J144" s="223" t="e">
        <v>#REF!</v>
      </c>
      <c r="K144" s="213">
        <v>0</v>
      </c>
      <c r="L144" s="213">
        <v>0</v>
      </c>
      <c r="M144" s="213">
        <v>0</v>
      </c>
      <c r="N144" s="213">
        <v>0</v>
      </c>
      <c r="O144" s="213">
        <v>0</v>
      </c>
      <c r="P144" s="213">
        <v>0</v>
      </c>
      <c r="R144" s="146" t="str">
        <f t="shared" si="2"/>
        <v>외함2000Wx2850Hx2500D</v>
      </c>
    </row>
    <row r="145" spans="1:18" ht="23.1" customHeight="1">
      <c r="A145" s="219">
        <v>56959000390</v>
      </c>
      <c r="B145" s="218" t="s">
        <v>343</v>
      </c>
      <c r="C145" s="218" t="s">
        <v>345</v>
      </c>
      <c r="D145" s="227" t="s">
        <v>181</v>
      </c>
      <c r="E145" s="227" t="s">
        <v>322</v>
      </c>
      <c r="F145" s="240" t="s">
        <v>183</v>
      </c>
      <c r="G145" s="263" t="s">
        <v>361</v>
      </c>
      <c r="H145" s="147"/>
      <c r="I145" s="224"/>
      <c r="J145" s="223" t="e">
        <v>#REF!</v>
      </c>
      <c r="K145" s="213">
        <v>0</v>
      </c>
      <c r="L145" s="213">
        <v>0</v>
      </c>
      <c r="M145" s="213">
        <v>0</v>
      </c>
      <c r="N145" s="213">
        <v>0</v>
      </c>
      <c r="O145" s="213">
        <v>0</v>
      </c>
      <c r="P145" s="213">
        <v>0</v>
      </c>
      <c r="R145" s="146" t="str">
        <f t="shared" si="2"/>
        <v>소공간자동소화장치8kg</v>
      </c>
    </row>
    <row r="146" spans="1:18" ht="23.1" customHeight="1">
      <c r="A146" s="219">
        <v>56959000391</v>
      </c>
      <c r="B146" s="218" t="s">
        <v>343</v>
      </c>
      <c r="C146" s="218" t="s">
        <v>346</v>
      </c>
      <c r="D146" s="227" t="s">
        <v>184</v>
      </c>
      <c r="E146" s="227" t="s">
        <v>185</v>
      </c>
      <c r="F146" s="240" t="s">
        <v>186</v>
      </c>
      <c r="G146" s="263" t="s">
        <v>362</v>
      </c>
      <c r="H146" s="147"/>
      <c r="I146" s="224"/>
      <c r="J146" s="223" t="e">
        <v>#REF!</v>
      </c>
      <c r="K146" s="213">
        <v>0</v>
      </c>
      <c r="L146" s="213">
        <v>0</v>
      </c>
      <c r="M146" s="213">
        <v>0</v>
      </c>
      <c r="N146" s="213">
        <v>0</v>
      </c>
      <c r="O146" s="213">
        <v>0</v>
      </c>
      <c r="P146" s="213">
        <v>0</v>
      </c>
      <c r="R146" s="146" t="str">
        <f t="shared" si="2"/>
        <v>DOOR HANDLEW/KEY (L)</v>
      </c>
    </row>
    <row r="147" spans="1:18" ht="23.1" customHeight="1">
      <c r="A147" s="219">
        <v>56959000392</v>
      </c>
      <c r="B147" s="218" t="s">
        <v>343</v>
      </c>
      <c r="C147" s="218" t="s">
        <v>347</v>
      </c>
      <c r="D147" s="227" t="s">
        <v>184</v>
      </c>
      <c r="E147" s="227" t="s">
        <v>323</v>
      </c>
      <c r="F147" s="240" t="s">
        <v>186</v>
      </c>
      <c r="G147" s="263" t="s">
        <v>362</v>
      </c>
      <c r="H147" s="147"/>
      <c r="I147" s="224"/>
      <c r="J147" s="223" t="e">
        <v>#REF!</v>
      </c>
      <c r="K147" s="213">
        <v>0</v>
      </c>
      <c r="L147" s="213">
        <v>0</v>
      </c>
      <c r="M147" s="213">
        <v>0</v>
      </c>
      <c r="N147" s="213">
        <v>0</v>
      </c>
      <c r="O147" s="213">
        <v>0</v>
      </c>
      <c r="P147" s="213">
        <v>0</v>
      </c>
      <c r="R147" s="146" t="str">
        <f t="shared" si="2"/>
        <v>DOOR HANDLEW/KEY (M)</v>
      </c>
    </row>
    <row r="148" spans="1:18" ht="23.1" customHeight="1">
      <c r="A148" s="219">
        <v>56959000395</v>
      </c>
      <c r="B148" s="218" t="s">
        <v>343</v>
      </c>
      <c r="C148" s="218" t="s">
        <v>348</v>
      </c>
      <c r="D148" s="227" t="s">
        <v>104</v>
      </c>
      <c r="E148" s="227"/>
      <c r="F148" s="240" t="s">
        <v>186</v>
      </c>
      <c r="G148" s="263" t="s">
        <v>362</v>
      </c>
      <c r="H148" s="147"/>
      <c r="I148" s="224"/>
      <c r="J148" s="223" t="e">
        <v>#REF!</v>
      </c>
      <c r="K148" s="213">
        <v>0</v>
      </c>
      <c r="L148" s="213">
        <v>0</v>
      </c>
      <c r="M148" s="213">
        <v>0</v>
      </c>
      <c r="N148" s="213">
        <v>0</v>
      </c>
      <c r="O148" s="213">
        <v>0</v>
      </c>
      <c r="P148" s="213">
        <v>0</v>
      </c>
      <c r="R148" s="146" t="str">
        <f t="shared" si="2"/>
        <v>DOOR STOPPER</v>
      </c>
    </row>
    <row r="149" spans="1:18" ht="23.1" customHeight="1">
      <c r="A149" s="219">
        <v>56959000396</v>
      </c>
      <c r="B149" s="218" t="s">
        <v>343</v>
      </c>
      <c r="C149" s="218" t="s">
        <v>349</v>
      </c>
      <c r="D149" s="227" t="s">
        <v>99</v>
      </c>
      <c r="E149" s="227" t="s">
        <v>187</v>
      </c>
      <c r="F149" s="240" t="s">
        <v>186</v>
      </c>
      <c r="G149" s="263" t="s">
        <v>363</v>
      </c>
      <c r="H149" s="147"/>
      <c r="I149" s="224"/>
      <c r="J149" s="223" t="e">
        <v>#REF!</v>
      </c>
      <c r="K149" s="213">
        <v>0</v>
      </c>
      <c r="L149" s="213">
        <v>0</v>
      </c>
      <c r="M149" s="213">
        <v>0</v>
      </c>
      <c r="N149" s="213">
        <v>0</v>
      </c>
      <c r="O149" s="213">
        <v>0</v>
      </c>
      <c r="P149" s="213">
        <v>0</v>
      </c>
      <c r="R149" s="146" t="str">
        <f t="shared" si="2"/>
        <v>NAME PLATE아크릴(L)</v>
      </c>
    </row>
    <row r="150" spans="1:18" ht="23.1" customHeight="1">
      <c r="A150" s="219">
        <v>56959000397</v>
      </c>
      <c r="B150" s="218" t="s">
        <v>343</v>
      </c>
      <c r="C150" s="218" t="s">
        <v>350</v>
      </c>
      <c r="D150" s="227" t="s">
        <v>188</v>
      </c>
      <c r="E150" s="227" t="s">
        <v>189</v>
      </c>
      <c r="F150" s="240" t="s">
        <v>186</v>
      </c>
      <c r="G150" s="263" t="s">
        <v>363</v>
      </c>
      <c r="H150" s="147"/>
      <c r="I150" s="224"/>
      <c r="J150" s="223" t="e">
        <v>#REF!</v>
      </c>
      <c r="K150" s="213">
        <v>0.18</v>
      </c>
      <c r="L150" s="213">
        <v>0</v>
      </c>
      <c r="M150" s="213">
        <v>0</v>
      </c>
      <c r="N150" s="213">
        <v>0.36</v>
      </c>
      <c r="O150" s="213">
        <v>0</v>
      </c>
      <c r="P150" s="213">
        <v>0</v>
      </c>
      <c r="R150" s="146" t="str">
        <f t="shared" si="2"/>
        <v>M C C B2P 220V 50AF 10kA</v>
      </c>
    </row>
    <row r="151" spans="1:18" ht="23.1" customHeight="1">
      <c r="A151" s="219">
        <v>56959000398</v>
      </c>
      <c r="B151" s="218" t="s">
        <v>343</v>
      </c>
      <c r="C151" s="218" t="s">
        <v>351</v>
      </c>
      <c r="D151" s="227" t="s">
        <v>190</v>
      </c>
      <c r="E151" s="227" t="s">
        <v>191</v>
      </c>
      <c r="F151" s="240" t="s">
        <v>186</v>
      </c>
      <c r="G151" s="263" t="s">
        <v>364</v>
      </c>
      <c r="H151" s="147"/>
      <c r="I151" s="224"/>
      <c r="J151" s="223" t="e">
        <v>#REF!</v>
      </c>
      <c r="K151" s="213">
        <v>0</v>
      </c>
      <c r="L151" s="213">
        <v>0</v>
      </c>
      <c r="M151" s="213">
        <v>0</v>
      </c>
      <c r="N151" s="213">
        <v>0</v>
      </c>
      <c r="O151" s="213">
        <v>0</v>
      </c>
      <c r="P151" s="213">
        <v>0</v>
      </c>
      <c r="R151" s="146" t="str">
        <f t="shared" si="2"/>
        <v>DIAZED FUSE25A 이하 W/HOLDER</v>
      </c>
    </row>
    <row r="152" spans="1:18" ht="23.1" customHeight="1">
      <c r="A152" s="219">
        <v>56959000418</v>
      </c>
      <c r="B152" s="218" t="s">
        <v>343</v>
      </c>
      <c r="C152" s="218" t="s">
        <v>352</v>
      </c>
      <c r="D152" s="227" t="s">
        <v>192</v>
      </c>
      <c r="E152" s="227" t="s">
        <v>193</v>
      </c>
      <c r="F152" s="240" t="s">
        <v>186</v>
      </c>
      <c r="G152" s="263" t="s">
        <v>363</v>
      </c>
      <c r="H152" s="147"/>
      <c r="I152" s="224"/>
      <c r="J152" s="223" t="e">
        <v>#REF!</v>
      </c>
      <c r="K152" s="213">
        <v>0.14000000000000001</v>
      </c>
      <c r="L152" s="213">
        <v>0</v>
      </c>
      <c r="M152" s="213">
        <v>0</v>
      </c>
      <c r="N152" s="213">
        <v>0.28000000000000003</v>
      </c>
      <c r="O152" s="213">
        <v>0</v>
      </c>
      <c r="P152" s="213">
        <v>0</v>
      </c>
      <c r="R152" s="146" t="str">
        <f t="shared" si="2"/>
        <v>F LAC 220V 20W</v>
      </c>
    </row>
    <row r="153" spans="1:18" ht="23.1" customHeight="1">
      <c r="D153" s="227" t="s">
        <v>194</v>
      </c>
      <c r="E153" s="227" t="s">
        <v>195</v>
      </c>
      <c r="F153" s="240" t="s">
        <v>186</v>
      </c>
      <c r="G153" s="263" t="s">
        <v>363</v>
      </c>
      <c r="H153" s="147"/>
      <c r="I153" s="224"/>
      <c r="J153" s="223" t="e">
        <v>#REF!</v>
      </c>
      <c r="K153" s="213">
        <v>0.1</v>
      </c>
      <c r="L153" s="213">
        <v>0</v>
      </c>
      <c r="M153" s="213">
        <v>0</v>
      </c>
      <c r="N153" s="213">
        <v>0.2</v>
      </c>
      <c r="O153" s="213">
        <v>0</v>
      </c>
      <c r="P153" s="213">
        <v>0</v>
      </c>
      <c r="R153" s="146" t="str">
        <f t="shared" si="2"/>
        <v>LIMIT S/WAC 220V 1a 1b</v>
      </c>
    </row>
    <row r="154" spans="1:18" ht="23.1" customHeight="1">
      <c r="D154" s="227" t="s">
        <v>102</v>
      </c>
      <c r="E154" s="227" t="s">
        <v>196</v>
      </c>
      <c r="F154" s="240" t="s">
        <v>186</v>
      </c>
      <c r="G154" s="263" t="s">
        <v>361</v>
      </c>
      <c r="H154" s="147"/>
      <c r="I154" s="224"/>
      <c r="J154" s="223" t="e">
        <v>#REF!</v>
      </c>
      <c r="K154" s="213">
        <v>0.4</v>
      </c>
      <c r="L154" s="213">
        <v>0</v>
      </c>
      <c r="M154" s="213">
        <v>0</v>
      </c>
      <c r="N154" s="213">
        <v>0.4</v>
      </c>
      <c r="O154" s="213">
        <v>0</v>
      </c>
      <c r="P154" s="213">
        <v>0</v>
      </c>
      <c r="R154" s="146" t="str">
        <f t="shared" si="2"/>
        <v>SPACE HEATERAC 220V 100W</v>
      </c>
    </row>
    <row r="155" spans="1:18" ht="23.1" customHeight="1">
      <c r="D155" s="227" t="s">
        <v>197</v>
      </c>
      <c r="E155" s="227" t="s">
        <v>198</v>
      </c>
      <c r="F155" s="240" t="s">
        <v>186</v>
      </c>
      <c r="G155" s="263" t="s">
        <v>361</v>
      </c>
      <c r="H155" s="147"/>
      <c r="I155" s="224"/>
      <c r="J155" s="223" t="e">
        <v>#REF!</v>
      </c>
      <c r="K155" s="213">
        <v>0.2</v>
      </c>
      <c r="L155" s="213">
        <v>0</v>
      </c>
      <c r="M155" s="213">
        <v>0</v>
      </c>
      <c r="N155" s="213">
        <v>0.2</v>
      </c>
      <c r="O155" s="213">
        <v>0</v>
      </c>
      <c r="P155" s="213">
        <v>0</v>
      </c>
      <c r="R155" s="146" t="str">
        <f t="shared" ref="R155:R178" si="3">CONCATENATE(D155,E155)</f>
        <v>THERMOSTAT250V 0-250℃</v>
      </c>
    </row>
    <row r="156" spans="1:18" ht="23.1" customHeight="1">
      <c r="D156" s="227" t="s">
        <v>199</v>
      </c>
      <c r="E156" s="227" t="s">
        <v>200</v>
      </c>
      <c r="F156" s="240" t="s">
        <v>186</v>
      </c>
      <c r="G156" s="263" t="s">
        <v>361</v>
      </c>
      <c r="H156" s="147"/>
      <c r="I156" s="224"/>
      <c r="J156" s="223" t="e">
        <v>#REF!</v>
      </c>
      <c r="K156" s="213">
        <v>0.08</v>
      </c>
      <c r="L156" s="213">
        <v>0</v>
      </c>
      <c r="M156" s="213">
        <v>0</v>
      </c>
      <c r="N156" s="213">
        <v>0.08</v>
      </c>
      <c r="O156" s="213">
        <v>0</v>
      </c>
      <c r="P156" s="213">
        <v>0</v>
      </c>
      <c r="R156" s="146" t="str">
        <f t="shared" si="3"/>
        <v>CONSENT2P AC 220V 15A</v>
      </c>
    </row>
    <row r="157" spans="1:18" ht="23.1" customHeight="1">
      <c r="D157" s="227" t="s">
        <v>209</v>
      </c>
      <c r="E157" s="227" t="s">
        <v>210</v>
      </c>
      <c r="F157" s="240" t="s">
        <v>203</v>
      </c>
      <c r="G157" s="263" t="s">
        <v>363</v>
      </c>
      <c r="H157" s="147"/>
      <c r="I157" s="224"/>
      <c r="J157" s="223" t="e">
        <v>#REF!</v>
      </c>
      <c r="K157" s="213">
        <v>0.09</v>
      </c>
      <c r="L157" s="213">
        <v>0</v>
      </c>
      <c r="M157" s="213">
        <v>7.0000000000000007E-2</v>
      </c>
      <c r="N157" s="213">
        <v>0.18</v>
      </c>
      <c r="O157" s="213">
        <v>0</v>
      </c>
      <c r="P157" s="213">
        <v>0.14000000000000001</v>
      </c>
      <c r="R157" s="146" t="str">
        <f t="shared" si="3"/>
        <v>EARTH BAR3.0 mm x 30 mm</v>
      </c>
    </row>
    <row r="158" spans="1:18" ht="23.1" customHeight="1">
      <c r="D158" s="227" t="s">
        <v>211</v>
      </c>
      <c r="E158" s="227" t="s">
        <v>212</v>
      </c>
      <c r="F158" s="240" t="s">
        <v>203</v>
      </c>
      <c r="G158" s="263" t="s">
        <v>362</v>
      </c>
      <c r="H158" s="147"/>
      <c r="I158" s="224"/>
      <c r="J158" s="223" t="e">
        <v>#REF!</v>
      </c>
      <c r="K158" s="213">
        <v>0</v>
      </c>
      <c r="L158" s="213">
        <v>8.0000000000000002E-3</v>
      </c>
      <c r="M158" s="213">
        <v>0</v>
      </c>
      <c r="N158" s="213">
        <v>0</v>
      </c>
      <c r="O158" s="213">
        <v>3.2000000000000001E-2</v>
      </c>
      <c r="P158" s="213">
        <v>0</v>
      </c>
      <c r="R158" s="146" t="str">
        <f t="shared" si="3"/>
        <v>EARTH WIREF-GV 70㎟</v>
      </c>
    </row>
    <row r="159" spans="1:18" ht="23.1" customHeight="1">
      <c r="D159" s="227" t="s">
        <v>213</v>
      </c>
      <c r="E159" s="227" t="s">
        <v>214</v>
      </c>
      <c r="F159" s="240" t="s">
        <v>186</v>
      </c>
      <c r="G159" s="263" t="s">
        <v>361</v>
      </c>
      <c r="H159" s="147"/>
      <c r="I159" s="224"/>
      <c r="J159" s="223" t="e">
        <v>#REF!</v>
      </c>
      <c r="K159" s="213">
        <v>0</v>
      </c>
      <c r="L159" s="213">
        <v>1.6E-2</v>
      </c>
      <c r="M159" s="213">
        <v>0</v>
      </c>
      <c r="N159" s="213">
        <v>0</v>
      </c>
      <c r="O159" s="213">
        <v>1.6E-2</v>
      </c>
      <c r="P159" s="213">
        <v>0</v>
      </c>
      <c r="R159" s="146" t="str">
        <f t="shared" si="3"/>
        <v>EARTH TERMINAL70㎟</v>
      </c>
    </row>
    <row r="160" spans="1:18" ht="23.1" customHeight="1">
      <c r="D160" s="227" t="s">
        <v>257</v>
      </c>
      <c r="E160" s="227" t="s">
        <v>258</v>
      </c>
      <c r="F160" s="240" t="s">
        <v>203</v>
      </c>
      <c r="G160" s="263" t="s">
        <v>365</v>
      </c>
      <c r="H160" s="147"/>
      <c r="I160" s="224"/>
      <c r="J160" s="223" t="e">
        <v>#REF!</v>
      </c>
      <c r="K160" s="213">
        <v>0.05</v>
      </c>
      <c r="L160" s="213">
        <v>0</v>
      </c>
      <c r="M160" s="213">
        <v>0</v>
      </c>
      <c r="N160" s="213">
        <v>2</v>
      </c>
      <c r="O160" s="213">
        <v>0</v>
      </c>
      <c r="P160" s="213">
        <v>0</v>
      </c>
      <c r="R160" s="146" t="str">
        <f t="shared" si="3"/>
        <v>이면배선 (IEC)KIV 2.5㎟</v>
      </c>
    </row>
    <row r="161" spans="1:18" ht="23.1" customHeight="1">
      <c r="D161" s="227" t="s">
        <v>260</v>
      </c>
      <c r="E161" s="227" t="s">
        <v>261</v>
      </c>
      <c r="F161" s="240" t="s">
        <v>100</v>
      </c>
      <c r="G161" s="263" t="s">
        <v>362</v>
      </c>
      <c r="H161" s="147"/>
      <c r="I161" s="224"/>
      <c r="J161" s="223" t="e">
        <v>#REF!</v>
      </c>
      <c r="K161" s="213">
        <v>0</v>
      </c>
      <c r="L161" s="213">
        <v>0</v>
      </c>
      <c r="M161" s="213">
        <v>0</v>
      </c>
      <c r="N161" s="213">
        <v>0</v>
      </c>
      <c r="O161" s="213">
        <v>0</v>
      </c>
      <c r="P161" s="213">
        <v>0</v>
      </c>
      <c r="R161" s="146" t="str">
        <f t="shared" si="3"/>
        <v>육각BOLTM14 x 100 H/T</v>
      </c>
    </row>
    <row r="162" spans="1:18" ht="23.1" customHeight="1">
      <c r="D162" s="227" t="s">
        <v>262</v>
      </c>
      <c r="E162" s="227" t="s">
        <v>263</v>
      </c>
      <c r="F162" s="240" t="s">
        <v>100</v>
      </c>
      <c r="G162" s="263" t="s">
        <v>366</v>
      </c>
      <c r="H162" s="147"/>
      <c r="I162" s="224"/>
      <c r="J162" s="223" t="e">
        <v>#REF!</v>
      </c>
      <c r="K162" s="213">
        <v>0</v>
      </c>
      <c r="L162" s="213">
        <v>0</v>
      </c>
      <c r="M162" s="213">
        <v>0</v>
      </c>
      <c r="N162" s="213">
        <v>0</v>
      </c>
      <c r="O162" s="213">
        <v>0</v>
      </c>
      <c r="P162" s="213">
        <v>0</v>
      </c>
      <c r="R162" s="146" t="str">
        <f t="shared" si="3"/>
        <v>NUTM14 H/T</v>
      </c>
    </row>
    <row r="163" spans="1:18" ht="23.1" customHeight="1">
      <c r="D163" s="227" t="s">
        <v>264</v>
      </c>
      <c r="E163" s="227" t="s">
        <v>263</v>
      </c>
      <c r="F163" s="240" t="s">
        <v>100</v>
      </c>
      <c r="G163" s="263" t="s">
        <v>362</v>
      </c>
      <c r="H163" s="147"/>
      <c r="I163" s="224"/>
      <c r="J163" s="223" t="e">
        <v>#REF!</v>
      </c>
      <c r="K163" s="213">
        <v>0</v>
      </c>
      <c r="L163" s="213">
        <v>0</v>
      </c>
      <c r="M163" s="213">
        <v>0</v>
      </c>
      <c r="N163" s="213">
        <v>0</v>
      </c>
      <c r="O163" s="213">
        <v>0</v>
      </c>
      <c r="P163" s="213">
        <v>0</v>
      </c>
      <c r="R163" s="146" t="str">
        <f t="shared" si="3"/>
        <v>평와샤M14 H/T</v>
      </c>
    </row>
    <row r="164" spans="1:18" ht="23.1" customHeight="1">
      <c r="D164" s="227" t="s">
        <v>265</v>
      </c>
      <c r="E164" s="227" t="s">
        <v>266</v>
      </c>
      <c r="F164" s="240" t="s">
        <v>100</v>
      </c>
      <c r="G164" s="263" t="s">
        <v>362</v>
      </c>
      <c r="H164" s="147"/>
      <c r="I164" s="224"/>
      <c r="J164" s="223" t="e">
        <v>#REF!</v>
      </c>
      <c r="K164" s="213">
        <v>0</v>
      </c>
      <c r="L164" s="213">
        <v>0</v>
      </c>
      <c r="M164" s="213">
        <v>0</v>
      </c>
      <c r="N164" s="213">
        <v>0</v>
      </c>
      <c r="O164" s="213">
        <v>0</v>
      </c>
      <c r="P164" s="213">
        <v>0</v>
      </c>
      <c r="R164" s="146" t="str">
        <f t="shared" si="3"/>
        <v>금형SPRINGCB 30 x 25 갈색</v>
      </c>
    </row>
    <row r="165" spans="1:18" ht="23.1" customHeight="1">
      <c r="D165" s="227" t="s">
        <v>267</v>
      </c>
      <c r="E165" s="227" t="s">
        <v>268</v>
      </c>
      <c r="F165" s="240" t="s">
        <v>100</v>
      </c>
      <c r="G165" s="263" t="s">
        <v>366</v>
      </c>
      <c r="H165" s="147"/>
      <c r="I165" s="224"/>
      <c r="J165" s="223" t="e">
        <v>#REF!</v>
      </c>
      <c r="K165" s="213">
        <v>0</v>
      </c>
      <c r="L165" s="213">
        <v>0</v>
      </c>
      <c r="M165" s="213">
        <v>0</v>
      </c>
      <c r="N165" s="213">
        <v>0</v>
      </c>
      <c r="O165" s="213">
        <v>0</v>
      </c>
      <c r="P165" s="213">
        <v>0</v>
      </c>
      <c r="R165" s="146" t="str">
        <f t="shared" si="3"/>
        <v>SPERICAL WASHER3A01 흑색착색</v>
      </c>
    </row>
    <row r="166" spans="1:18" ht="23.1" customHeight="1">
      <c r="D166" s="227" t="s">
        <v>269</v>
      </c>
      <c r="E166" s="227" t="s">
        <v>270</v>
      </c>
      <c r="F166" s="240" t="s">
        <v>100</v>
      </c>
      <c r="G166" s="263" t="s">
        <v>366</v>
      </c>
      <c r="H166" s="147"/>
      <c r="I166" s="224"/>
      <c r="J166" s="223" t="e">
        <v>#REF!</v>
      </c>
      <c r="K166" s="213">
        <v>0</v>
      </c>
      <c r="L166" s="213">
        <v>0</v>
      </c>
      <c r="M166" s="213">
        <v>0</v>
      </c>
      <c r="N166" s="213">
        <v>0</v>
      </c>
      <c r="O166" s="213">
        <v>0</v>
      </c>
      <c r="P166" s="213">
        <v>0</v>
      </c>
      <c r="R166" s="146" t="str">
        <f t="shared" si="3"/>
        <v>SPERICAL WASHER BASE3A02 흑색착색</v>
      </c>
    </row>
    <row r="167" spans="1:18" ht="23.1" customHeight="1">
      <c r="D167" s="227" t="s">
        <v>271</v>
      </c>
      <c r="E167" s="227" t="s">
        <v>272</v>
      </c>
      <c r="F167" s="240" t="s">
        <v>100</v>
      </c>
      <c r="G167" s="263" t="s">
        <v>366</v>
      </c>
      <c r="H167" s="147"/>
      <c r="I167" s="224"/>
      <c r="J167" s="223" t="e">
        <v>#REF!</v>
      </c>
      <c r="K167" s="213">
        <v>0</v>
      </c>
      <c r="L167" s="213">
        <v>0</v>
      </c>
      <c r="M167" s="213">
        <v>0</v>
      </c>
      <c r="N167" s="213">
        <v>0</v>
      </c>
      <c r="O167" s="213">
        <v>0</v>
      </c>
      <c r="P167" s="213">
        <v>0</v>
      </c>
      <c r="R167" s="146" t="str">
        <f t="shared" si="3"/>
        <v>BASE WASHER3A03 흑색착색</v>
      </c>
    </row>
    <row r="168" spans="1:18" ht="23.1" customHeight="1">
      <c r="D168" s="227" t="s">
        <v>273</v>
      </c>
      <c r="E168" s="227" t="s">
        <v>274</v>
      </c>
      <c r="F168" s="240" t="s">
        <v>100</v>
      </c>
      <c r="G168" s="263" t="s">
        <v>362</v>
      </c>
      <c r="H168" s="147"/>
      <c r="I168" s="224"/>
      <c r="J168" s="223" t="e">
        <v>#REF!</v>
      </c>
      <c r="K168" s="213">
        <v>0</v>
      </c>
      <c r="L168" s="213">
        <v>0</v>
      </c>
      <c r="M168" s="213">
        <v>0</v>
      </c>
      <c r="N168" s="213">
        <v>0</v>
      </c>
      <c r="O168" s="213">
        <v>0</v>
      </c>
      <c r="P168" s="213">
        <v>0</v>
      </c>
      <c r="R168" s="146" t="str">
        <f t="shared" si="3"/>
        <v>내진BOLT GUIDE3A04</v>
      </c>
    </row>
    <row r="169" spans="1:18" ht="23.1" customHeight="1">
      <c r="A169" s="219">
        <v>56959000395</v>
      </c>
      <c r="B169" s="218" t="s">
        <v>343</v>
      </c>
      <c r="C169" s="218" t="s">
        <v>348</v>
      </c>
      <c r="D169" s="227" t="s">
        <v>275</v>
      </c>
      <c r="E169" s="227"/>
      <c r="F169" s="240" t="s">
        <v>100</v>
      </c>
      <c r="G169" s="263" t="s">
        <v>362</v>
      </c>
      <c r="H169" s="147"/>
      <c r="I169" s="224"/>
      <c r="J169" s="223" t="e">
        <v>#REF!</v>
      </c>
      <c r="K169" s="213">
        <v>0</v>
      </c>
      <c r="L169" s="213">
        <v>0</v>
      </c>
      <c r="M169" s="213">
        <v>0</v>
      </c>
      <c r="N169" s="213">
        <v>0</v>
      </c>
      <c r="O169" s="213">
        <v>0</v>
      </c>
      <c r="P169" s="213">
        <v>0</v>
      </c>
      <c r="R169" s="146" t="str">
        <f t="shared" si="3"/>
        <v>3t 우레탄 고무판</v>
      </c>
    </row>
    <row r="170" spans="1:18" ht="23.1" customHeight="1">
      <c r="A170" s="219">
        <v>56959000396</v>
      </c>
      <c r="B170" s="218" t="s">
        <v>343</v>
      </c>
      <c r="C170" s="218" t="s">
        <v>349</v>
      </c>
      <c r="D170" s="227" t="s">
        <v>276</v>
      </c>
      <c r="E170" s="227"/>
      <c r="F170" s="240" t="s">
        <v>100</v>
      </c>
      <c r="G170" s="263" t="s">
        <v>363</v>
      </c>
      <c r="H170" s="147"/>
      <c r="I170" s="224"/>
      <c r="J170" s="223" t="e">
        <v>#REF!</v>
      </c>
      <c r="K170" s="213">
        <v>0</v>
      </c>
      <c r="L170" s="213">
        <v>0</v>
      </c>
      <c r="M170" s="213">
        <v>0</v>
      </c>
      <c r="N170" s="213">
        <v>0</v>
      </c>
      <c r="O170" s="213">
        <v>0</v>
      </c>
      <c r="P170" s="213">
        <v>0</v>
      </c>
      <c r="R170" s="146" t="str">
        <f t="shared" si="3"/>
        <v>내진BASE</v>
      </c>
    </row>
    <row r="171" spans="1:18" ht="23.1" customHeight="1">
      <c r="B171" s="218" t="s">
        <v>353</v>
      </c>
      <c r="D171" s="227" t="s">
        <v>354</v>
      </c>
      <c r="E171" s="227"/>
      <c r="F171" s="240" t="s">
        <v>355</v>
      </c>
      <c r="G171" s="263">
        <v>1</v>
      </c>
      <c r="H171" s="223"/>
      <c r="I171" s="224"/>
      <c r="J171" s="223"/>
      <c r="K171" s="213"/>
      <c r="L171" s="213"/>
      <c r="M171" s="213"/>
      <c r="N171" s="213">
        <v>3.7</v>
      </c>
      <c r="O171" s="213">
        <v>4.8000000000000001E-2</v>
      </c>
      <c r="P171" s="213">
        <v>0.14000000000000001</v>
      </c>
      <c r="R171" s="146" t="str">
        <f t="shared" si="3"/>
        <v>( 재료비 소계 )</v>
      </c>
    </row>
    <row r="172" spans="1:18" ht="23.1" customHeight="1">
      <c r="D172" s="227"/>
      <c r="E172" s="227"/>
      <c r="F172" s="240"/>
      <c r="G172" s="263"/>
      <c r="H172" s="223"/>
      <c r="I172" s="224"/>
      <c r="J172" s="223"/>
      <c r="K172" s="213"/>
      <c r="L172" s="213"/>
      <c r="M172" s="213"/>
      <c r="N172" s="213"/>
      <c r="O172" s="213"/>
      <c r="P172" s="213"/>
      <c r="R172" s="146" t="str">
        <f t="shared" si="3"/>
        <v/>
      </c>
    </row>
    <row r="173" spans="1:18" ht="23.1" customHeight="1">
      <c r="D173" s="227" t="s">
        <v>356</v>
      </c>
      <c r="E173" s="227"/>
      <c r="F173" s="240"/>
      <c r="G173" s="263"/>
      <c r="H173" s="223"/>
      <c r="I173" s="224"/>
      <c r="J173" s="223"/>
      <c r="K173" s="213"/>
      <c r="L173" s="213"/>
      <c r="M173" s="213"/>
      <c r="N173" s="213"/>
      <c r="O173" s="213"/>
      <c r="P173" s="213"/>
      <c r="R173" s="146" t="str">
        <f t="shared" si="3"/>
        <v>(2) 산출노무비</v>
      </c>
    </row>
    <row r="174" spans="1:18" ht="23.1" customHeight="1">
      <c r="D174" s="227" t="s">
        <v>84</v>
      </c>
      <c r="E174" s="243" t="s">
        <v>373</v>
      </c>
      <c r="F174" s="240" t="s">
        <v>105</v>
      </c>
      <c r="G174" s="264">
        <v>3.7</v>
      </c>
      <c r="H174" s="223"/>
      <c r="I174" s="224"/>
      <c r="J174" s="223" t="e">
        <v>#REF!</v>
      </c>
      <c r="K174" s="213">
        <v>0</v>
      </c>
      <c r="L174" s="213">
        <v>0</v>
      </c>
      <c r="M174" s="213">
        <v>0</v>
      </c>
      <c r="N174" s="213">
        <v>0</v>
      </c>
      <c r="O174" s="213">
        <v>0</v>
      </c>
      <c r="P174" s="213">
        <v>0</v>
      </c>
      <c r="R174" s="146" t="str">
        <f t="shared" si="3"/>
        <v>노 무 비전기기계조립원</v>
      </c>
    </row>
    <row r="175" spans="1:18" ht="23.1" customHeight="1">
      <c r="D175" s="227" t="s">
        <v>84</v>
      </c>
      <c r="E175" s="243" t="s">
        <v>106</v>
      </c>
      <c r="F175" s="240" t="s">
        <v>105</v>
      </c>
      <c r="G175" s="264">
        <v>4.8000000000000001E-2</v>
      </c>
      <c r="H175" s="223"/>
      <c r="I175" s="224"/>
      <c r="J175" s="223" t="e">
        <v>#REF!</v>
      </c>
      <c r="K175" s="213">
        <v>0</v>
      </c>
      <c r="L175" s="213">
        <v>0</v>
      </c>
      <c r="M175" s="213">
        <v>0</v>
      </c>
      <c r="N175" s="213">
        <v>0</v>
      </c>
      <c r="O175" s="213">
        <v>0</v>
      </c>
      <c r="P175" s="213">
        <v>0</v>
      </c>
      <c r="R175" s="146" t="str">
        <f t="shared" si="3"/>
        <v>노 무 비전선원</v>
      </c>
    </row>
    <row r="176" spans="1:18" ht="23.1" customHeight="1">
      <c r="D176" s="227" t="s">
        <v>84</v>
      </c>
      <c r="E176" s="243" t="s">
        <v>107</v>
      </c>
      <c r="F176" s="240" t="s">
        <v>105</v>
      </c>
      <c r="G176" s="264">
        <v>0.14000000000000001</v>
      </c>
      <c r="H176" s="223"/>
      <c r="I176" s="224"/>
      <c r="J176" s="223" t="e">
        <v>#REF!</v>
      </c>
      <c r="K176" s="213">
        <v>0</v>
      </c>
      <c r="L176" s="213">
        <v>0</v>
      </c>
      <c r="M176" s="213">
        <v>0</v>
      </c>
      <c r="N176" s="213">
        <v>0</v>
      </c>
      <c r="O176" s="213">
        <v>0</v>
      </c>
      <c r="P176" s="213">
        <v>0</v>
      </c>
      <c r="R176" s="146" t="str">
        <f t="shared" si="3"/>
        <v>노 무 비단순노무종사원</v>
      </c>
    </row>
    <row r="177" spans="2:18" ht="23.1" customHeight="1">
      <c r="B177" s="218" t="s">
        <v>353</v>
      </c>
      <c r="D177" s="227" t="s">
        <v>357</v>
      </c>
      <c r="E177" s="227"/>
      <c r="F177" s="240" t="s">
        <v>355</v>
      </c>
      <c r="G177" s="264">
        <v>1</v>
      </c>
      <c r="H177" s="223"/>
      <c r="I177" s="224"/>
      <c r="J177" s="223"/>
      <c r="K177" s="213">
        <v>0</v>
      </c>
      <c r="L177" s="213">
        <v>0</v>
      </c>
      <c r="M177" s="213">
        <v>0</v>
      </c>
      <c r="N177" s="213">
        <v>0</v>
      </c>
      <c r="O177" s="213">
        <v>0</v>
      </c>
      <c r="P177" s="213">
        <v>0</v>
      </c>
      <c r="R177" s="146" t="str">
        <f t="shared" si="3"/>
        <v>( 노무비 소계 )</v>
      </c>
    </row>
    <row r="178" spans="2:18" ht="23.1" customHeight="1">
      <c r="D178" s="227"/>
      <c r="E178" s="227"/>
      <c r="F178" s="240"/>
      <c r="G178" s="263"/>
      <c r="H178" s="223"/>
      <c r="I178" s="224"/>
      <c r="J178" s="223"/>
      <c r="K178" s="213"/>
      <c r="L178" s="213"/>
      <c r="M178" s="213"/>
      <c r="N178" s="213"/>
      <c r="O178" s="213"/>
      <c r="P178" s="213"/>
      <c r="R178" s="146" t="str">
        <f t="shared" si="3"/>
        <v/>
      </c>
    </row>
    <row r="179" spans="2:18" ht="23.1" customHeight="1">
      <c r="R179" s="146" t="str">
        <f t="shared" ref="R179:R180" si="4">CONCATENATE(D179,E179)</f>
        <v/>
      </c>
    </row>
    <row r="180" spans="2:18" ht="23.1" customHeight="1">
      <c r="R180" s="146" t="str">
        <f t="shared" si="4"/>
        <v/>
      </c>
    </row>
  </sheetData>
  <mergeCells count="8">
    <mergeCell ref="D1:P1"/>
    <mergeCell ref="K3:M3"/>
    <mergeCell ref="N3:P3"/>
    <mergeCell ref="D3:D4"/>
    <mergeCell ref="E3:E4"/>
    <mergeCell ref="F3:F4"/>
    <mergeCell ref="G3:G4"/>
    <mergeCell ref="H3:I3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rgb="FFFF0000"/>
  </sheetPr>
  <dimension ref="A1:Q105"/>
  <sheetViews>
    <sheetView view="pageBreakPreview" zoomScaleNormal="100" zoomScaleSheetLayoutView="100" workbookViewId="0">
      <selection activeCell="F36" sqref="F36"/>
    </sheetView>
  </sheetViews>
  <sheetFormatPr defaultRowHeight="13.5"/>
  <cols>
    <col min="1" max="1" width="24.6640625" style="158" customWidth="1"/>
    <col min="2" max="2" width="28.88671875" style="158" customWidth="1"/>
    <col min="3" max="3" width="6.44140625" style="158" customWidth="1"/>
    <col min="4" max="4" width="13.109375" style="158" customWidth="1"/>
    <col min="5" max="5" width="13.21875" style="158" customWidth="1"/>
    <col min="6" max="6" width="15.21875" style="158" customWidth="1"/>
    <col min="7" max="7" width="10.77734375" style="158" customWidth="1"/>
    <col min="8" max="9" width="28.44140625" customWidth="1"/>
    <col min="10" max="10" width="8.88671875" customWidth="1"/>
    <col min="11" max="11" width="8.88671875" hidden="1" customWidth="1"/>
    <col min="12" max="12" width="8.88671875" customWidth="1"/>
  </cols>
  <sheetData>
    <row r="1" spans="1:16" s="7" customFormat="1" ht="42" customHeight="1">
      <c r="A1" s="448" t="s">
        <v>402</v>
      </c>
      <c r="B1" s="448"/>
      <c r="C1" s="448"/>
      <c r="D1" s="448"/>
      <c r="E1" s="448"/>
      <c r="F1" s="448"/>
      <c r="G1" s="448"/>
      <c r="H1" s="256"/>
      <c r="I1" s="256"/>
      <c r="J1" s="256"/>
      <c r="K1" s="256"/>
      <c r="L1" s="256"/>
      <c r="M1" s="256"/>
      <c r="N1" s="256"/>
      <c r="O1" s="256"/>
      <c r="P1" s="256"/>
    </row>
    <row r="2" spans="1:16" ht="30.75" customHeight="1">
      <c r="A2" s="449" t="s">
        <v>110</v>
      </c>
      <c r="B2" s="449" t="s">
        <v>111</v>
      </c>
      <c r="C2" s="450" t="s">
        <v>29</v>
      </c>
      <c r="D2" s="451" t="s">
        <v>108</v>
      </c>
      <c r="E2" s="451"/>
      <c r="F2" s="451"/>
      <c r="G2" s="452" t="s">
        <v>112</v>
      </c>
    </row>
    <row r="3" spans="1:16" ht="36" customHeight="1">
      <c r="A3" s="449"/>
      <c r="B3" s="449"/>
      <c r="C3" s="450"/>
      <c r="D3" s="160" t="s">
        <v>374</v>
      </c>
      <c r="E3" s="213" t="s">
        <v>375</v>
      </c>
      <c r="F3" s="213" t="s">
        <v>376</v>
      </c>
      <c r="G3" s="453"/>
    </row>
    <row r="4" spans="1:16" s="180" customFormat="1" ht="20.25" customHeight="1">
      <c r="A4" s="222" t="s">
        <v>179</v>
      </c>
      <c r="B4" s="222" t="s">
        <v>180</v>
      </c>
      <c r="C4" s="221" t="s">
        <v>59</v>
      </c>
      <c r="D4" s="213"/>
      <c r="E4" s="213"/>
      <c r="F4" s="213"/>
      <c r="G4" s="207"/>
      <c r="J4" s="181"/>
      <c r="K4" s="206" t="str">
        <f t="shared" ref="K4:K67" si="0">CONCATENATE(A4,B4)</f>
        <v>외함800Wx2850Hx2500D</v>
      </c>
    </row>
    <row r="5" spans="1:16" ht="20.25" customHeight="1">
      <c r="A5" s="222" t="s">
        <v>181</v>
      </c>
      <c r="B5" s="222" t="s">
        <v>182</v>
      </c>
      <c r="C5" s="221" t="s">
        <v>183</v>
      </c>
      <c r="D5" s="213">
        <v>0.33</v>
      </c>
      <c r="E5" s="213"/>
      <c r="F5" s="213"/>
      <c r="G5" s="214" t="s">
        <v>379</v>
      </c>
      <c r="J5" s="98"/>
      <c r="K5" s="206" t="str">
        <f t="shared" si="0"/>
        <v>소공간자동소화장치4kg</v>
      </c>
    </row>
    <row r="6" spans="1:16" ht="20.25" customHeight="1">
      <c r="A6" s="222" t="s">
        <v>184</v>
      </c>
      <c r="B6" s="222" t="s">
        <v>185</v>
      </c>
      <c r="C6" s="221" t="s">
        <v>186</v>
      </c>
      <c r="D6" s="213"/>
      <c r="E6" s="213"/>
      <c r="F6" s="213"/>
      <c r="G6" s="207"/>
      <c r="H6" s="212"/>
      <c r="J6" s="98"/>
      <c r="K6" s="206" t="str">
        <f t="shared" si="0"/>
        <v>DOOR HANDLEW/KEY (L)</v>
      </c>
    </row>
    <row r="7" spans="1:16" ht="20.25" customHeight="1">
      <c r="A7" s="222" t="s">
        <v>104</v>
      </c>
      <c r="B7" s="222"/>
      <c r="C7" s="221" t="s">
        <v>186</v>
      </c>
      <c r="D7" s="213"/>
      <c r="E7" s="213"/>
      <c r="F7" s="213"/>
      <c r="G7" s="207"/>
      <c r="H7" s="212"/>
      <c r="J7" s="98"/>
      <c r="K7" s="206" t="str">
        <f t="shared" si="0"/>
        <v>DOOR STOPPER</v>
      </c>
    </row>
    <row r="8" spans="1:16" ht="20.25" customHeight="1">
      <c r="A8" s="222" t="s">
        <v>99</v>
      </c>
      <c r="B8" s="222" t="s">
        <v>187</v>
      </c>
      <c r="C8" s="221" t="s">
        <v>186</v>
      </c>
      <c r="D8" s="213"/>
      <c r="E8" s="213"/>
      <c r="F8" s="213"/>
      <c r="G8" s="207"/>
      <c r="H8" s="299" t="s">
        <v>429</v>
      </c>
      <c r="I8" s="212"/>
      <c r="J8" s="98"/>
      <c r="K8" s="206" t="str">
        <f t="shared" si="0"/>
        <v>NAME PLATE아크릴(L)</v>
      </c>
    </row>
    <row r="9" spans="1:16" ht="20.25" customHeight="1">
      <c r="A9" s="222" t="s">
        <v>188</v>
      </c>
      <c r="B9" s="222" t="s">
        <v>189</v>
      </c>
      <c r="C9" s="221" t="s">
        <v>186</v>
      </c>
      <c r="D9" s="297">
        <v>0.18</v>
      </c>
      <c r="E9" s="213"/>
      <c r="F9" s="213"/>
      <c r="G9" s="214" t="s">
        <v>324</v>
      </c>
      <c r="H9" s="212"/>
      <c r="J9" s="98"/>
      <c r="K9" s="206" t="str">
        <f t="shared" si="0"/>
        <v>M C C B2P 220V 50AF 10kA</v>
      </c>
    </row>
    <row r="10" spans="1:16" ht="20.25" customHeight="1">
      <c r="A10" s="222" t="s">
        <v>190</v>
      </c>
      <c r="B10" s="222" t="s">
        <v>191</v>
      </c>
      <c r="C10" s="221" t="s">
        <v>186</v>
      </c>
      <c r="D10" s="269"/>
      <c r="E10" s="213"/>
      <c r="F10" s="213"/>
      <c r="G10" s="207"/>
      <c r="H10" s="212"/>
      <c r="J10" s="98"/>
      <c r="K10" s="206" t="str">
        <f t="shared" si="0"/>
        <v>DIAZED FUSE25A 이하 W/HOLDER</v>
      </c>
    </row>
    <row r="11" spans="1:16" ht="20.25" customHeight="1">
      <c r="A11" s="222" t="s">
        <v>192</v>
      </c>
      <c r="B11" s="222" t="s">
        <v>193</v>
      </c>
      <c r="C11" s="221" t="s">
        <v>186</v>
      </c>
      <c r="D11" s="297">
        <v>0.14000000000000001</v>
      </c>
      <c r="E11" s="213"/>
      <c r="F11" s="213"/>
      <c r="G11" s="214" t="s">
        <v>408</v>
      </c>
      <c r="H11" s="212"/>
      <c r="J11" s="98"/>
      <c r="K11" s="206" t="str">
        <f t="shared" si="0"/>
        <v>F LAC 220V 20W</v>
      </c>
    </row>
    <row r="12" spans="1:16" s="180" customFormat="1" ht="20.25" customHeight="1">
      <c r="A12" s="222" t="s">
        <v>194</v>
      </c>
      <c r="B12" s="222" t="s">
        <v>195</v>
      </c>
      <c r="C12" s="221" t="s">
        <v>186</v>
      </c>
      <c r="D12" s="297">
        <v>0.1</v>
      </c>
      <c r="E12" s="213"/>
      <c r="F12" s="213"/>
      <c r="G12" s="214" t="s">
        <v>325</v>
      </c>
      <c r="H12" s="212"/>
      <c r="J12" s="181"/>
      <c r="K12" s="206" t="str">
        <f t="shared" si="0"/>
        <v>LIMIT S/WAC 220V 1a 1b</v>
      </c>
    </row>
    <row r="13" spans="1:16" s="180" customFormat="1" ht="20.25" customHeight="1">
      <c r="A13" s="222" t="s">
        <v>102</v>
      </c>
      <c r="B13" s="222" t="s">
        <v>196</v>
      </c>
      <c r="C13" s="221" t="s">
        <v>186</v>
      </c>
      <c r="D13" s="297">
        <v>0.4</v>
      </c>
      <c r="E13" s="213"/>
      <c r="F13" s="213"/>
      <c r="G13" s="214" t="s">
        <v>326</v>
      </c>
      <c r="H13" s="212"/>
      <c r="J13" s="181"/>
      <c r="K13" s="206" t="str">
        <f t="shared" si="0"/>
        <v>SPACE HEATERAC 220V 100W</v>
      </c>
    </row>
    <row r="14" spans="1:16" s="180" customFormat="1" ht="20.25" customHeight="1">
      <c r="A14" s="222" t="s">
        <v>197</v>
      </c>
      <c r="B14" s="222" t="s">
        <v>198</v>
      </c>
      <c r="C14" s="221" t="s">
        <v>186</v>
      </c>
      <c r="D14" s="297">
        <v>0.2</v>
      </c>
      <c r="E14" s="213"/>
      <c r="F14" s="213"/>
      <c r="G14" s="214" t="s">
        <v>327</v>
      </c>
      <c r="H14" s="212"/>
      <c r="J14" s="181"/>
      <c r="K14" s="206" t="str">
        <f t="shared" si="0"/>
        <v>THERMOSTAT250V 0-250℃</v>
      </c>
    </row>
    <row r="15" spans="1:16" s="180" customFormat="1" ht="20.25" customHeight="1">
      <c r="A15" s="225" t="s">
        <v>199</v>
      </c>
      <c r="B15" s="225" t="s">
        <v>200</v>
      </c>
      <c r="C15" s="226" t="s">
        <v>186</v>
      </c>
      <c r="D15" s="297">
        <v>0.08</v>
      </c>
      <c r="E15" s="213"/>
      <c r="F15" s="213"/>
      <c r="G15" s="214" t="s">
        <v>325</v>
      </c>
      <c r="H15" s="212"/>
      <c r="J15" s="181"/>
      <c r="K15" s="206" t="str">
        <f t="shared" si="0"/>
        <v>CONSENT2P AC 220V 15A</v>
      </c>
    </row>
    <row r="16" spans="1:16" s="180" customFormat="1" ht="20.25" customHeight="1">
      <c r="A16" s="222" t="s">
        <v>201</v>
      </c>
      <c r="B16" s="222" t="s">
        <v>202</v>
      </c>
      <c r="C16" s="221" t="s">
        <v>203</v>
      </c>
      <c r="D16" s="297">
        <v>0.1</v>
      </c>
      <c r="E16" s="213"/>
      <c r="F16" s="213">
        <v>0.08</v>
      </c>
      <c r="G16" s="214" t="s">
        <v>328</v>
      </c>
      <c r="H16" s="212"/>
      <c r="J16" s="181"/>
      <c r="K16" s="206" t="str">
        <f t="shared" si="0"/>
        <v>MAIN BUS BAR6.0 mm x 50 mm</v>
      </c>
    </row>
    <row r="17" spans="1:11" ht="20.25" customHeight="1">
      <c r="A17" s="222" t="s">
        <v>204</v>
      </c>
      <c r="B17" s="222" t="s">
        <v>205</v>
      </c>
      <c r="C17" s="221" t="s">
        <v>203</v>
      </c>
      <c r="D17" s="213"/>
      <c r="E17" s="213"/>
      <c r="F17" s="213"/>
      <c r="G17" s="207"/>
      <c r="H17" s="212"/>
      <c r="J17" s="98"/>
      <c r="K17" s="206" t="str">
        <f t="shared" si="0"/>
        <v>AIR THRINK TUBE (600V이하)6T x 50</v>
      </c>
    </row>
    <row r="18" spans="1:11" ht="20.25" customHeight="1">
      <c r="A18" s="222" t="s">
        <v>206</v>
      </c>
      <c r="B18" s="222" t="s">
        <v>207</v>
      </c>
      <c r="C18" s="221" t="s">
        <v>208</v>
      </c>
      <c r="D18" s="213"/>
      <c r="E18" s="213"/>
      <c r="F18" s="213"/>
      <c r="G18" s="207"/>
      <c r="H18" s="212"/>
      <c r="J18" s="98"/>
      <c r="K18" s="206" t="str">
        <f t="shared" si="0"/>
        <v>BUS BAR COATINGAG</v>
      </c>
    </row>
    <row r="19" spans="1:11" ht="20.25" customHeight="1">
      <c r="A19" s="222" t="s">
        <v>209</v>
      </c>
      <c r="B19" s="222" t="s">
        <v>210</v>
      </c>
      <c r="C19" s="221" t="s">
        <v>203</v>
      </c>
      <c r="D19" s="213">
        <v>0.09</v>
      </c>
      <c r="E19" s="213"/>
      <c r="F19" s="213">
        <v>7.0000000000000007E-2</v>
      </c>
      <c r="G19" s="214" t="s">
        <v>328</v>
      </c>
      <c r="J19" s="98"/>
      <c r="K19" s="206" t="str">
        <f t="shared" si="0"/>
        <v>EARTH BAR3.0 mm x 30 mm</v>
      </c>
    </row>
    <row r="20" spans="1:11" ht="29.25" customHeight="1">
      <c r="A20" s="222" t="s">
        <v>211</v>
      </c>
      <c r="B20" s="222" t="s">
        <v>212</v>
      </c>
      <c r="C20" s="221" t="s">
        <v>203</v>
      </c>
      <c r="D20" s="213"/>
      <c r="E20" s="270">
        <v>8.0000000000000002E-3</v>
      </c>
      <c r="F20" s="213"/>
      <c r="G20" s="272" t="s">
        <v>407</v>
      </c>
      <c r="H20" s="212"/>
      <c r="J20" s="98"/>
      <c r="K20" s="206" t="str">
        <f t="shared" si="0"/>
        <v>EARTH WIREF-GV 70㎟</v>
      </c>
    </row>
    <row r="21" spans="1:11" ht="20.25" customHeight="1">
      <c r="A21" s="222" t="s">
        <v>213</v>
      </c>
      <c r="B21" s="222" t="s">
        <v>214</v>
      </c>
      <c r="C21" s="221" t="s">
        <v>186</v>
      </c>
      <c r="D21" s="213"/>
      <c r="E21" s="213">
        <v>1.6E-2</v>
      </c>
      <c r="F21" s="213"/>
      <c r="G21" s="214" t="s">
        <v>380</v>
      </c>
      <c r="H21" s="212"/>
      <c r="J21" s="98"/>
      <c r="K21" s="206" t="str">
        <f t="shared" si="0"/>
        <v>EARTH TERMINAL70㎟</v>
      </c>
    </row>
    <row r="22" spans="1:11" ht="20.25" customHeight="1">
      <c r="A22" s="222" t="s">
        <v>215</v>
      </c>
      <c r="B22" s="222" t="s">
        <v>216</v>
      </c>
      <c r="C22" s="221" t="s">
        <v>217</v>
      </c>
      <c r="D22" s="213">
        <v>2.99</v>
      </c>
      <c r="E22" s="213"/>
      <c r="F22" s="213"/>
      <c r="G22" s="214" t="s">
        <v>330</v>
      </c>
      <c r="J22" s="98"/>
      <c r="K22" s="206" t="str">
        <f t="shared" si="0"/>
        <v>A C B (표준형)4P 600AF  D/O</v>
      </c>
    </row>
    <row r="23" spans="1:11" ht="20.25" customHeight="1">
      <c r="A23" s="222" t="s">
        <v>218</v>
      </c>
      <c r="B23" s="222" t="s">
        <v>219</v>
      </c>
      <c r="C23" s="221" t="s">
        <v>186</v>
      </c>
      <c r="D23" s="213">
        <v>0.34</v>
      </c>
      <c r="E23" s="213"/>
      <c r="F23" s="213"/>
      <c r="G23" s="214" t="s">
        <v>327</v>
      </c>
      <c r="J23" s="98"/>
      <c r="K23" s="206" t="str">
        <f t="shared" si="0"/>
        <v>P T   440/110V200VA 1.0 EPOXY MOLD</v>
      </c>
    </row>
    <row r="24" spans="1:11" ht="20.25" customHeight="1">
      <c r="A24" s="222" t="s">
        <v>220</v>
      </c>
      <c r="B24" s="222" t="s">
        <v>221</v>
      </c>
      <c r="C24" s="221" t="s">
        <v>186</v>
      </c>
      <c r="D24" s="213">
        <v>0.34</v>
      </c>
      <c r="E24" s="213"/>
      <c r="F24" s="213"/>
      <c r="G24" s="214" t="s">
        <v>327</v>
      </c>
      <c r="J24" s="98"/>
      <c r="K24" s="206" t="str">
        <f t="shared" si="0"/>
        <v>C T 1150V  600/5A 40VA 1.0WINDOW TYPE 40In</v>
      </c>
    </row>
    <row r="25" spans="1:11" ht="20.25" customHeight="1">
      <c r="A25" s="222" t="s">
        <v>222</v>
      </c>
      <c r="B25" s="222"/>
      <c r="C25" s="221" t="s">
        <v>217</v>
      </c>
      <c r="D25" s="213">
        <v>0.38</v>
      </c>
      <c r="E25" s="213"/>
      <c r="F25" s="213"/>
      <c r="G25" s="214" t="s">
        <v>327</v>
      </c>
      <c r="H25" s="212"/>
      <c r="J25" s="98"/>
      <c r="K25" s="206" t="str">
        <f t="shared" si="0"/>
        <v>전자화전력보호</v>
      </c>
    </row>
    <row r="26" spans="1:11" ht="20.25" customHeight="1">
      <c r="A26" s="222" t="s">
        <v>223</v>
      </c>
      <c r="B26" s="222"/>
      <c r="C26" s="221" t="s">
        <v>186</v>
      </c>
      <c r="D26" s="297">
        <v>0.46</v>
      </c>
      <c r="E26" s="213"/>
      <c r="F26" s="213"/>
      <c r="G26" s="214" t="s">
        <v>324</v>
      </c>
      <c r="H26" s="212"/>
      <c r="J26" s="98"/>
      <c r="K26" s="206" t="str">
        <f t="shared" si="0"/>
        <v>SPD DS</v>
      </c>
    </row>
    <row r="27" spans="1:11" ht="20.25" customHeight="1">
      <c r="A27" s="222" t="s">
        <v>101</v>
      </c>
      <c r="B27" s="222" t="s">
        <v>224</v>
      </c>
      <c r="C27" s="221" t="s">
        <v>217</v>
      </c>
      <c r="D27" s="213">
        <v>0.24</v>
      </c>
      <c r="E27" s="213"/>
      <c r="F27" s="213"/>
      <c r="G27" s="214" t="s">
        <v>381</v>
      </c>
      <c r="J27" s="98"/>
      <c r="K27" s="206" t="str">
        <f t="shared" si="0"/>
        <v>SPDCLASS I Iimp 12.5kA</v>
      </c>
    </row>
    <row r="28" spans="1:11" ht="20.25" customHeight="1">
      <c r="A28" s="222" t="s">
        <v>225</v>
      </c>
      <c r="B28" s="222"/>
      <c r="C28" s="221" t="s">
        <v>217</v>
      </c>
      <c r="D28" s="213">
        <v>0.32</v>
      </c>
      <c r="E28" s="213"/>
      <c r="F28" s="213"/>
      <c r="G28" s="214" t="s">
        <v>331</v>
      </c>
      <c r="H28" s="212"/>
      <c r="J28" s="98"/>
      <c r="K28" s="206" t="str">
        <f t="shared" si="0"/>
        <v>W H M</v>
      </c>
    </row>
    <row r="29" spans="1:11" ht="20.25" customHeight="1">
      <c r="A29" s="222" t="s">
        <v>226</v>
      </c>
      <c r="B29" s="222"/>
      <c r="C29" s="221" t="s">
        <v>186</v>
      </c>
      <c r="D29" s="213">
        <v>0.34</v>
      </c>
      <c r="E29" s="213"/>
      <c r="F29" s="213"/>
      <c r="G29" s="214" t="s">
        <v>327</v>
      </c>
      <c r="H29" s="212"/>
      <c r="J29" s="98"/>
      <c r="K29" s="206" t="str">
        <f t="shared" si="0"/>
        <v>C T</v>
      </c>
    </row>
    <row r="30" spans="1:11" ht="20.25" customHeight="1">
      <c r="A30" s="222" t="s">
        <v>227</v>
      </c>
      <c r="B30" s="222" t="s">
        <v>228</v>
      </c>
      <c r="C30" s="221" t="s">
        <v>186</v>
      </c>
      <c r="D30" s="213">
        <v>0.2</v>
      </c>
      <c r="E30" s="213"/>
      <c r="F30" s="213"/>
      <c r="G30" s="214" t="s">
        <v>327</v>
      </c>
      <c r="J30" s="98"/>
      <c r="K30" s="206" t="str">
        <f t="shared" si="0"/>
        <v>C S (CAM S/W)PULL TURN TYPE</v>
      </c>
    </row>
    <row r="31" spans="1:11" ht="20.25" customHeight="1">
      <c r="A31" s="222" t="s">
        <v>229</v>
      </c>
      <c r="B31" s="222" t="s">
        <v>230</v>
      </c>
      <c r="C31" s="221" t="s">
        <v>186</v>
      </c>
      <c r="D31" s="297">
        <v>0.1</v>
      </c>
      <c r="E31" s="296"/>
      <c r="F31" s="213"/>
      <c r="G31" s="214" t="s">
        <v>325</v>
      </c>
      <c r="J31" s="98"/>
      <c r="K31" s="206" t="str">
        <f t="shared" si="0"/>
        <v>P LDC 110/125V 30mm</v>
      </c>
    </row>
    <row r="32" spans="1:11" ht="28.5" customHeight="1">
      <c r="A32" s="222" t="s">
        <v>231</v>
      </c>
      <c r="B32" s="222" t="s">
        <v>232</v>
      </c>
      <c r="C32" s="221" t="s">
        <v>186</v>
      </c>
      <c r="D32" s="270">
        <v>6.5000000000000002E-2</v>
      </c>
      <c r="E32" s="298"/>
      <c r="F32" s="213"/>
      <c r="G32" s="272" t="s">
        <v>406</v>
      </c>
      <c r="J32" s="98"/>
      <c r="K32" s="206" t="str">
        <f t="shared" si="0"/>
        <v>P B S25/30Φ 1a 1b</v>
      </c>
    </row>
    <row r="33" spans="1:17" ht="20.25" customHeight="1">
      <c r="A33" s="222" t="s">
        <v>233</v>
      </c>
      <c r="B33" s="222" t="s">
        <v>234</v>
      </c>
      <c r="C33" s="221" t="s">
        <v>186</v>
      </c>
      <c r="D33" s="297">
        <v>0.08</v>
      </c>
      <c r="E33" s="296"/>
      <c r="F33" s="213"/>
      <c r="G33" s="214" t="s">
        <v>325</v>
      </c>
      <c r="H33" s="212"/>
      <c r="J33" s="98"/>
      <c r="K33" s="206" t="str">
        <f t="shared" si="0"/>
        <v>B Z (PANEL용)DC 110V 4인치</v>
      </c>
    </row>
    <row r="34" spans="1:17" ht="20.25" customHeight="1">
      <c r="A34" s="222" t="s">
        <v>235</v>
      </c>
      <c r="B34" s="222" t="s">
        <v>236</v>
      </c>
      <c r="C34" s="221" t="s">
        <v>186</v>
      </c>
      <c r="D34" s="213">
        <v>0.2</v>
      </c>
      <c r="E34" s="213"/>
      <c r="F34" s="213"/>
      <c r="G34" s="214" t="s">
        <v>327</v>
      </c>
      <c r="J34" s="98"/>
      <c r="K34" s="206" t="str">
        <f t="shared" si="0"/>
        <v>T T MCTT.PTT 3P 4W W/PLUG</v>
      </c>
    </row>
    <row r="35" spans="1:17" ht="20.25" customHeight="1">
      <c r="A35" s="222" t="s">
        <v>237</v>
      </c>
      <c r="B35" s="222" t="s">
        <v>238</v>
      </c>
      <c r="C35" s="221" t="s">
        <v>186</v>
      </c>
      <c r="D35" s="213">
        <v>0.18</v>
      </c>
      <c r="E35" s="213"/>
      <c r="F35" s="213"/>
      <c r="G35" s="214" t="s">
        <v>327</v>
      </c>
      <c r="H35" s="212"/>
      <c r="J35" s="98"/>
      <c r="K35" s="206" t="str">
        <f t="shared" si="0"/>
        <v>FLICKER RELAY (FCR)110/220V ON:6S OFF:3S</v>
      </c>
    </row>
    <row r="36" spans="1:17" ht="20.25" customHeight="1">
      <c r="A36" s="222" t="s">
        <v>239</v>
      </c>
      <c r="B36" s="222" t="s">
        <v>240</v>
      </c>
      <c r="C36" s="221" t="s">
        <v>186</v>
      </c>
      <c r="D36" s="213">
        <v>0.02</v>
      </c>
      <c r="E36" s="213"/>
      <c r="F36" s="213"/>
      <c r="G36" s="214" t="s">
        <v>332</v>
      </c>
      <c r="H36" s="212"/>
      <c r="J36" s="98"/>
      <c r="K36" s="206" t="str">
        <f t="shared" si="0"/>
        <v>EPOXY INSULATOR600V 40x40mm</v>
      </c>
    </row>
    <row r="37" spans="1:17" ht="20.25" customHeight="1">
      <c r="A37" s="229" t="s">
        <v>241</v>
      </c>
      <c r="B37" s="229" t="s">
        <v>242</v>
      </c>
      <c r="C37" s="228" t="s">
        <v>243</v>
      </c>
      <c r="D37" s="213"/>
      <c r="E37" s="213"/>
      <c r="F37" s="213"/>
      <c r="G37" s="207"/>
      <c r="H37" s="212"/>
      <c r="J37" s="98"/>
      <c r="K37" s="206" t="str">
        <f t="shared" si="0"/>
        <v>BAKELITE PLATE5tx400x600</v>
      </c>
      <c r="N37" s="168"/>
      <c r="O37" s="168"/>
      <c r="P37" s="168"/>
      <c r="Q37" s="168"/>
    </row>
    <row r="38" spans="1:17" ht="20.25" customHeight="1">
      <c r="A38" s="229" t="s">
        <v>103</v>
      </c>
      <c r="B38" s="229" t="s">
        <v>244</v>
      </c>
      <c r="C38" s="228" t="s">
        <v>186</v>
      </c>
      <c r="D38" s="297">
        <v>0.22</v>
      </c>
      <c r="E38" s="213"/>
      <c r="F38" s="213"/>
      <c r="G38" s="214" t="s">
        <v>333</v>
      </c>
      <c r="J38" s="98"/>
      <c r="K38" s="206" t="str">
        <f t="shared" si="0"/>
        <v>PVC DUCT30x40x2m W/COVER</v>
      </c>
      <c r="N38" s="168"/>
      <c r="O38" s="167"/>
      <c r="P38" s="168"/>
      <c r="Q38" s="168"/>
    </row>
    <row r="39" spans="1:17" ht="20.25" customHeight="1">
      <c r="A39" s="229" t="s">
        <v>103</v>
      </c>
      <c r="B39" s="229" t="s">
        <v>245</v>
      </c>
      <c r="C39" s="228" t="s">
        <v>186</v>
      </c>
      <c r="D39" s="297">
        <v>0.22</v>
      </c>
      <c r="E39" s="213"/>
      <c r="F39" s="213"/>
      <c r="G39" s="214" t="s">
        <v>333</v>
      </c>
      <c r="J39" s="98"/>
      <c r="K39" s="206" t="str">
        <f t="shared" si="0"/>
        <v>PVC DUCT40x60x2m W/COVER</v>
      </c>
      <c r="N39" s="168"/>
      <c r="O39" s="167"/>
      <c r="P39" s="167"/>
      <c r="Q39" s="168"/>
    </row>
    <row r="40" spans="1:17" ht="20.25" customHeight="1">
      <c r="A40" s="229" t="s">
        <v>246</v>
      </c>
      <c r="B40" s="229" t="s">
        <v>247</v>
      </c>
      <c r="C40" s="228" t="s">
        <v>186</v>
      </c>
      <c r="D40" s="213"/>
      <c r="E40" s="213"/>
      <c r="F40" s="213"/>
      <c r="G40" s="207"/>
      <c r="J40" s="98"/>
      <c r="K40" s="206" t="str">
        <f t="shared" si="0"/>
        <v>단자대(TB)10P 30A</v>
      </c>
      <c r="N40" s="167"/>
      <c r="O40" s="167"/>
      <c r="P40" s="167"/>
      <c r="Q40" s="168"/>
    </row>
    <row r="41" spans="1:17" s="180" customFormat="1" ht="20.25" customHeight="1">
      <c r="A41" s="222" t="s">
        <v>248</v>
      </c>
      <c r="B41" s="222" t="s">
        <v>249</v>
      </c>
      <c r="C41" s="221" t="s">
        <v>186</v>
      </c>
      <c r="D41" s="213">
        <v>0.18</v>
      </c>
      <c r="E41" s="213"/>
      <c r="F41" s="213"/>
      <c r="G41" s="214" t="s">
        <v>327</v>
      </c>
      <c r="J41" s="181"/>
      <c r="K41" s="206" t="str">
        <f t="shared" si="0"/>
        <v>A U X - RAC 2a2b</v>
      </c>
      <c r="N41" s="183"/>
      <c r="O41" s="167"/>
      <c r="P41" s="167"/>
      <c r="Q41" s="183"/>
    </row>
    <row r="42" spans="1:17" s="180" customFormat="1" ht="20.25" customHeight="1">
      <c r="A42" s="225" t="s">
        <v>248</v>
      </c>
      <c r="B42" s="225" t="s">
        <v>250</v>
      </c>
      <c r="C42" s="226" t="s">
        <v>186</v>
      </c>
      <c r="D42" s="213">
        <v>0.18</v>
      </c>
      <c r="E42" s="213"/>
      <c r="F42" s="213"/>
      <c r="G42" s="214" t="s">
        <v>327</v>
      </c>
      <c r="J42" s="181"/>
      <c r="K42" s="206" t="str">
        <f t="shared" si="0"/>
        <v>A U X - RAC 4a4b</v>
      </c>
      <c r="N42" s="183"/>
      <c r="O42" s="167"/>
      <c r="P42" s="183"/>
      <c r="Q42" s="183"/>
    </row>
    <row r="43" spans="1:17" s="180" customFormat="1" ht="20.25" customHeight="1">
      <c r="A43" s="225" t="s">
        <v>251</v>
      </c>
      <c r="B43" s="225" t="s">
        <v>252</v>
      </c>
      <c r="C43" s="226" t="s">
        <v>203</v>
      </c>
      <c r="D43" s="213"/>
      <c r="E43" s="213">
        <v>0.04</v>
      </c>
      <c r="F43" s="213"/>
      <c r="G43" s="214" t="s">
        <v>329</v>
      </c>
      <c r="H43" s="212"/>
      <c r="J43" s="181"/>
      <c r="K43" s="206" t="str">
        <f t="shared" si="0"/>
        <v>LOAD WIREKIV 50㎟</v>
      </c>
      <c r="N43" s="183"/>
      <c r="O43" s="183"/>
      <c r="P43" s="183"/>
      <c r="Q43" s="183"/>
    </row>
    <row r="44" spans="1:17" s="180" customFormat="1" ht="20.25" customHeight="1">
      <c r="A44" s="222" t="s">
        <v>253</v>
      </c>
      <c r="B44" s="222" t="s">
        <v>254</v>
      </c>
      <c r="C44" s="221" t="s">
        <v>186</v>
      </c>
      <c r="D44" s="213"/>
      <c r="E44" s="213"/>
      <c r="F44" s="213"/>
      <c r="G44" s="207"/>
      <c r="J44" s="181"/>
      <c r="K44" s="206" t="str">
        <f t="shared" si="0"/>
        <v>LOAD TB4P 100A</v>
      </c>
      <c r="N44" s="183"/>
      <c r="O44" s="167"/>
      <c r="P44" s="183"/>
      <c r="Q44" s="183"/>
    </row>
    <row r="45" spans="1:17" s="180" customFormat="1" ht="20.25" customHeight="1">
      <c r="A45" s="222" t="s">
        <v>255</v>
      </c>
      <c r="B45" s="222" t="s">
        <v>256</v>
      </c>
      <c r="C45" s="221" t="s">
        <v>186</v>
      </c>
      <c r="D45" s="213"/>
      <c r="E45" s="213">
        <v>1.6E-2</v>
      </c>
      <c r="F45" s="213"/>
      <c r="G45" s="214" t="s">
        <v>380</v>
      </c>
      <c r="J45" s="181"/>
      <c r="K45" s="206" t="str">
        <f t="shared" si="0"/>
        <v>TERMINAL LUG50㎟</v>
      </c>
      <c r="N45" s="183"/>
      <c r="O45" s="183"/>
      <c r="P45" s="183"/>
      <c r="Q45" s="183"/>
    </row>
    <row r="46" spans="1:17" ht="20.25" customHeight="1">
      <c r="A46" s="222" t="s">
        <v>257</v>
      </c>
      <c r="B46" s="222" t="s">
        <v>258</v>
      </c>
      <c r="C46" s="221" t="s">
        <v>203</v>
      </c>
      <c r="D46" s="213">
        <v>0.05</v>
      </c>
      <c r="E46" s="213"/>
      <c r="F46" s="213"/>
      <c r="G46" s="214" t="s">
        <v>327</v>
      </c>
      <c r="J46" s="98"/>
      <c r="K46" s="206" t="str">
        <f t="shared" si="0"/>
        <v>이면배선 (IEC)KIV 2.5㎟</v>
      </c>
      <c r="N46" s="168"/>
      <c r="O46" s="168"/>
      <c r="P46" s="168"/>
      <c r="Q46" s="168"/>
    </row>
    <row r="47" spans="1:17" ht="20.25" customHeight="1">
      <c r="A47" s="222" t="s">
        <v>257</v>
      </c>
      <c r="B47" s="222" t="s">
        <v>259</v>
      </c>
      <c r="C47" s="221" t="s">
        <v>203</v>
      </c>
      <c r="D47" s="213">
        <v>0.05</v>
      </c>
      <c r="E47" s="213"/>
      <c r="F47" s="213"/>
      <c r="G47" s="214" t="s">
        <v>327</v>
      </c>
      <c r="J47" s="98"/>
      <c r="K47" s="206" t="str">
        <f t="shared" si="0"/>
        <v>이면배선 (IEC)KIV 4㎟</v>
      </c>
      <c r="N47" s="168"/>
      <c r="O47" s="168"/>
      <c r="P47" s="168"/>
      <c r="Q47" s="168"/>
    </row>
    <row r="48" spans="1:17" ht="20.25" customHeight="1">
      <c r="A48" s="222" t="s">
        <v>260</v>
      </c>
      <c r="B48" s="222" t="s">
        <v>261</v>
      </c>
      <c r="C48" s="221" t="s">
        <v>100</v>
      </c>
      <c r="D48" s="213"/>
      <c r="E48" s="213"/>
      <c r="F48" s="213"/>
      <c r="G48" s="207"/>
      <c r="J48" s="98"/>
      <c r="K48" s="206" t="str">
        <f t="shared" si="0"/>
        <v>육각BOLTM14 x 100 H/T</v>
      </c>
      <c r="N48" s="168"/>
      <c r="O48" s="168"/>
      <c r="P48" s="168"/>
      <c r="Q48" s="168"/>
    </row>
    <row r="49" spans="1:17" ht="20.25" customHeight="1">
      <c r="A49" s="222" t="s">
        <v>262</v>
      </c>
      <c r="B49" s="222" t="s">
        <v>263</v>
      </c>
      <c r="C49" s="221" t="s">
        <v>100</v>
      </c>
      <c r="D49" s="213"/>
      <c r="E49" s="213"/>
      <c r="F49" s="213"/>
      <c r="G49" s="207"/>
      <c r="J49" s="98"/>
      <c r="K49" s="206" t="str">
        <f t="shared" si="0"/>
        <v>NUTM14 H/T</v>
      </c>
      <c r="N49" s="168"/>
      <c r="O49" s="168"/>
      <c r="P49" s="167"/>
      <c r="Q49" s="167"/>
    </row>
    <row r="50" spans="1:17" ht="20.25" customHeight="1">
      <c r="A50" s="222" t="s">
        <v>264</v>
      </c>
      <c r="B50" s="222" t="s">
        <v>263</v>
      </c>
      <c r="C50" s="221" t="s">
        <v>100</v>
      </c>
      <c r="D50" s="213"/>
      <c r="E50" s="213"/>
      <c r="F50" s="213"/>
      <c r="G50" s="207"/>
      <c r="J50" s="98"/>
      <c r="K50" s="206" t="str">
        <f t="shared" si="0"/>
        <v>평와샤M14 H/T</v>
      </c>
      <c r="N50" s="168"/>
      <c r="O50" s="168"/>
      <c r="P50" s="167"/>
      <c r="Q50" s="167"/>
    </row>
    <row r="51" spans="1:17" s="144" customFormat="1" ht="20.25" customHeight="1">
      <c r="A51" s="222" t="s">
        <v>265</v>
      </c>
      <c r="B51" s="222" t="s">
        <v>266</v>
      </c>
      <c r="C51" s="221" t="s">
        <v>100</v>
      </c>
      <c r="D51" s="213"/>
      <c r="E51" s="213"/>
      <c r="F51" s="213"/>
      <c r="G51" s="207"/>
      <c r="H51" s="154"/>
      <c r="I51" s="154"/>
      <c r="J51" s="98"/>
      <c r="K51" s="206" t="str">
        <f t="shared" si="0"/>
        <v>금형SPRINGCB 30 x 25 갈색</v>
      </c>
      <c r="N51" s="182"/>
      <c r="O51" s="182"/>
      <c r="P51" s="167"/>
      <c r="Q51" s="167"/>
    </row>
    <row r="52" spans="1:17" ht="20.25" customHeight="1">
      <c r="A52" s="225" t="s">
        <v>267</v>
      </c>
      <c r="B52" s="225" t="s">
        <v>268</v>
      </c>
      <c r="C52" s="226" t="s">
        <v>100</v>
      </c>
      <c r="D52" s="213"/>
      <c r="E52" s="213"/>
      <c r="F52" s="213"/>
      <c r="G52" s="207"/>
      <c r="H52" s="212"/>
      <c r="J52" s="98"/>
      <c r="K52" s="206" t="str">
        <f t="shared" si="0"/>
        <v>SPERICAL WASHER3A01 흑색착색</v>
      </c>
      <c r="N52" s="168"/>
      <c r="O52" s="168"/>
      <c r="P52" s="167"/>
      <c r="Q52" s="168"/>
    </row>
    <row r="53" spans="1:17" ht="20.25" customHeight="1">
      <c r="A53" s="222" t="s">
        <v>269</v>
      </c>
      <c r="B53" s="222" t="s">
        <v>270</v>
      </c>
      <c r="C53" s="221" t="s">
        <v>100</v>
      </c>
      <c r="D53" s="213"/>
      <c r="E53" s="213"/>
      <c r="F53" s="213"/>
      <c r="G53" s="207"/>
      <c r="J53" s="98"/>
      <c r="K53" s="206" t="str">
        <f t="shared" si="0"/>
        <v>SPERICAL WASHER BASE3A02 흑색착색</v>
      </c>
      <c r="N53" s="168"/>
      <c r="O53" s="168"/>
      <c r="P53" s="167"/>
      <c r="Q53" s="168"/>
    </row>
    <row r="54" spans="1:17" ht="20.25" customHeight="1">
      <c r="A54" s="222" t="s">
        <v>271</v>
      </c>
      <c r="B54" s="222" t="s">
        <v>272</v>
      </c>
      <c r="C54" s="221" t="s">
        <v>100</v>
      </c>
      <c r="D54" s="213"/>
      <c r="E54" s="213"/>
      <c r="F54" s="213"/>
      <c r="G54" s="207"/>
      <c r="J54" s="98"/>
      <c r="K54" s="206" t="str">
        <f t="shared" si="0"/>
        <v>BASE WASHER3A03 흑색착색</v>
      </c>
      <c r="N54" s="168"/>
      <c r="O54" s="168"/>
      <c r="P54" s="168"/>
      <c r="Q54" s="168"/>
    </row>
    <row r="55" spans="1:17" ht="20.25" customHeight="1">
      <c r="A55" s="222" t="s">
        <v>273</v>
      </c>
      <c r="B55" s="222" t="s">
        <v>274</v>
      </c>
      <c r="C55" s="221" t="s">
        <v>100</v>
      </c>
      <c r="D55" s="213"/>
      <c r="E55" s="213"/>
      <c r="F55" s="213"/>
      <c r="G55" s="207"/>
      <c r="J55" s="98"/>
      <c r="K55" s="206" t="str">
        <f t="shared" si="0"/>
        <v>내진BOLT GUIDE3A04</v>
      </c>
    </row>
    <row r="56" spans="1:17" ht="20.25" customHeight="1">
      <c r="A56" s="222" t="s">
        <v>275</v>
      </c>
      <c r="B56" s="222"/>
      <c r="C56" s="221" t="s">
        <v>100</v>
      </c>
      <c r="D56" s="213"/>
      <c r="E56" s="213"/>
      <c r="F56" s="213"/>
      <c r="G56" s="207"/>
      <c r="J56" s="98"/>
      <c r="K56" s="206" t="str">
        <f t="shared" si="0"/>
        <v>3t 우레탄 고무판</v>
      </c>
    </row>
    <row r="57" spans="1:17" ht="20.25" customHeight="1">
      <c r="A57" s="222" t="s">
        <v>276</v>
      </c>
      <c r="B57" s="222"/>
      <c r="C57" s="221" t="s">
        <v>100</v>
      </c>
      <c r="D57" s="213"/>
      <c r="E57" s="213"/>
      <c r="F57" s="213"/>
      <c r="G57" s="207"/>
      <c r="J57" s="98"/>
      <c r="K57" s="206" t="str">
        <f t="shared" si="0"/>
        <v>내진BASE</v>
      </c>
    </row>
    <row r="58" spans="1:17" ht="20.25" customHeight="1">
      <c r="A58" s="222" t="s">
        <v>277</v>
      </c>
      <c r="B58" s="222" t="s">
        <v>278</v>
      </c>
      <c r="C58" s="221" t="s">
        <v>100</v>
      </c>
      <c r="D58" s="213"/>
      <c r="E58" s="213"/>
      <c r="F58" s="213"/>
      <c r="G58" s="207"/>
      <c r="J58" s="98"/>
      <c r="K58" s="206" t="str">
        <f t="shared" si="0"/>
        <v>MODULE소음감지용 PCB</v>
      </c>
    </row>
    <row r="59" spans="1:17" ht="20.25" customHeight="1">
      <c r="A59" s="222" t="s">
        <v>277</v>
      </c>
      <c r="B59" s="222" t="s">
        <v>279</v>
      </c>
      <c r="C59" s="221" t="s">
        <v>100</v>
      </c>
      <c r="D59" s="213"/>
      <c r="E59" s="213"/>
      <c r="F59" s="213"/>
      <c r="G59" s="207"/>
      <c r="J59" s="98"/>
      <c r="K59" s="206" t="str">
        <f t="shared" si="0"/>
        <v>MODULE진동감지용 PCB</v>
      </c>
    </row>
    <row r="60" spans="1:17" ht="20.25" customHeight="1">
      <c r="A60" s="222" t="s">
        <v>280</v>
      </c>
      <c r="B60" s="222" t="s">
        <v>281</v>
      </c>
      <c r="C60" s="221" t="s">
        <v>100</v>
      </c>
      <c r="D60" s="213"/>
      <c r="E60" s="213"/>
      <c r="F60" s="213"/>
      <c r="G60" s="207"/>
      <c r="J60" s="98"/>
      <c r="K60" s="206" t="str">
        <f t="shared" si="0"/>
        <v>CONTROLLERMAIN PCB (소음진동장치)</v>
      </c>
    </row>
    <row r="61" spans="1:17" ht="20.25" customHeight="1">
      <c r="A61" s="222" t="s">
        <v>282</v>
      </c>
      <c r="B61" s="222" t="s">
        <v>283</v>
      </c>
      <c r="C61" s="221" t="s">
        <v>100</v>
      </c>
      <c r="D61" s="213"/>
      <c r="E61" s="213"/>
      <c r="F61" s="213"/>
      <c r="G61" s="207"/>
      <c r="J61" s="98"/>
      <c r="K61" s="206" t="str">
        <f t="shared" si="0"/>
        <v>MAIN PCBEPD-03(전력계통이상표시</v>
      </c>
    </row>
    <row r="62" spans="1:17" ht="20.25" customHeight="1">
      <c r="A62" s="222" t="s">
        <v>284</v>
      </c>
      <c r="B62" s="222" t="s">
        <v>283</v>
      </c>
      <c r="C62" s="221" t="s">
        <v>100</v>
      </c>
      <c r="D62" s="213"/>
      <c r="E62" s="213"/>
      <c r="F62" s="213"/>
      <c r="G62" s="207"/>
      <c r="J62" s="98"/>
      <c r="K62" s="206" t="str">
        <f t="shared" si="0"/>
        <v>SUB PCBEPD-03(전력계통이상표시</v>
      </c>
    </row>
    <row r="63" spans="1:17" ht="20.25" customHeight="1">
      <c r="A63" s="222" t="s">
        <v>285</v>
      </c>
      <c r="B63" s="222" t="s">
        <v>283</v>
      </c>
      <c r="C63" s="221" t="s">
        <v>100</v>
      </c>
      <c r="D63" s="213"/>
      <c r="E63" s="213"/>
      <c r="F63" s="213"/>
      <c r="G63" s="207"/>
      <c r="J63" s="98"/>
      <c r="K63" s="206" t="str">
        <f t="shared" si="0"/>
        <v>DISPLAY PCBEPD-03(전력계통이상표시</v>
      </c>
    </row>
    <row r="64" spans="1:17" ht="20.25" customHeight="1">
      <c r="A64" s="222" t="s">
        <v>286</v>
      </c>
      <c r="B64" s="222" t="s">
        <v>283</v>
      </c>
      <c r="C64" s="221" t="s">
        <v>100</v>
      </c>
      <c r="D64" s="213"/>
      <c r="E64" s="213"/>
      <c r="F64" s="213"/>
      <c r="G64" s="207"/>
      <c r="J64" s="98"/>
      <c r="K64" s="206" t="str">
        <f t="shared" si="0"/>
        <v>SMPSEPD-03(전력계통이상표시</v>
      </c>
    </row>
    <row r="65" spans="1:13" ht="20.25" customHeight="1">
      <c r="A65" s="222" t="s">
        <v>287</v>
      </c>
      <c r="B65" s="222" t="s">
        <v>283</v>
      </c>
      <c r="C65" s="221" t="s">
        <v>100</v>
      </c>
      <c r="D65" s="213"/>
      <c r="E65" s="213"/>
      <c r="F65" s="213"/>
      <c r="G65" s="207"/>
      <c r="J65" s="98"/>
      <c r="K65" s="206" t="str">
        <f t="shared" si="0"/>
        <v>CASE SETEPD-03(전력계통이상표시</v>
      </c>
    </row>
    <row r="66" spans="1:13" ht="20.25" customHeight="1">
      <c r="A66" s="222" t="s">
        <v>288</v>
      </c>
      <c r="B66" s="222" t="s">
        <v>283</v>
      </c>
      <c r="C66" s="221" t="s">
        <v>100</v>
      </c>
      <c r="D66" s="213"/>
      <c r="E66" s="213"/>
      <c r="F66" s="213"/>
      <c r="G66" s="207"/>
      <c r="J66" s="98"/>
      <c r="K66" s="206" t="str">
        <f t="shared" si="0"/>
        <v>LOOP SYSTEMEPD-03(전력계통이상표시</v>
      </c>
    </row>
    <row r="67" spans="1:13" s="143" customFormat="1" ht="20.25" customHeight="1">
      <c r="A67" s="222" t="s">
        <v>289</v>
      </c>
      <c r="B67" s="222" t="s">
        <v>290</v>
      </c>
      <c r="C67" s="221" t="s">
        <v>100</v>
      </c>
      <c r="D67" s="213"/>
      <c r="E67" s="213"/>
      <c r="F67" s="213"/>
      <c r="G67" s="207"/>
      <c r="H67" s="155"/>
      <c r="I67" s="155"/>
      <c r="J67" s="98"/>
      <c r="K67" s="206" t="str">
        <f t="shared" si="0"/>
        <v>케이스150*250*130mm</v>
      </c>
    </row>
    <row r="68" spans="1:13" s="143" customFormat="1" ht="20.25" customHeight="1">
      <c r="A68" s="222" t="s">
        <v>291</v>
      </c>
      <c r="B68" s="222" t="s">
        <v>292</v>
      </c>
      <c r="C68" s="221" t="s">
        <v>293</v>
      </c>
      <c r="D68" s="213"/>
      <c r="E68" s="213"/>
      <c r="F68" s="213"/>
      <c r="G68" s="207"/>
      <c r="H68" s="155"/>
      <c r="I68" s="155"/>
      <c r="J68" s="98"/>
      <c r="K68" s="206" t="str">
        <f t="shared" ref="K68:K90" si="1">CONCATENATE(A68,B68)</f>
        <v>EMF - 7200kVA</v>
      </c>
    </row>
    <row r="69" spans="1:13" ht="20.25" customHeight="1">
      <c r="A69" s="222" t="s">
        <v>294</v>
      </c>
      <c r="B69" s="222" t="s">
        <v>295</v>
      </c>
      <c r="C69" s="221" t="s">
        <v>100</v>
      </c>
      <c r="D69" s="213"/>
      <c r="E69" s="213"/>
      <c r="F69" s="213"/>
      <c r="G69" s="207"/>
      <c r="H69" s="154"/>
      <c r="I69" s="154"/>
      <c r="J69" s="98"/>
      <c r="K69" s="206" t="str">
        <f t="shared" si="1"/>
        <v>아연도금동판150*250*2mm</v>
      </c>
      <c r="L69" s="144"/>
      <c r="M69" s="144"/>
    </row>
    <row r="70" spans="1:13" s="144" customFormat="1" ht="20.25" customHeight="1">
      <c r="A70" s="222" t="s">
        <v>296</v>
      </c>
      <c r="B70" s="222" t="s">
        <v>297</v>
      </c>
      <c r="C70" s="221" t="s">
        <v>100</v>
      </c>
      <c r="D70" s="213"/>
      <c r="E70" s="213"/>
      <c r="F70" s="213"/>
      <c r="G70" s="207"/>
      <c r="H70" s="154"/>
      <c r="I70" s="154"/>
      <c r="J70" s="98"/>
      <c r="K70" s="206" t="str">
        <f t="shared" si="1"/>
        <v>케이블105℃/600V 22sq x 3M</v>
      </c>
    </row>
    <row r="71" spans="1:13" ht="20.25" customHeight="1">
      <c r="A71" s="222" t="s">
        <v>298</v>
      </c>
      <c r="B71" s="222" t="s">
        <v>299</v>
      </c>
      <c r="C71" s="221" t="s">
        <v>243</v>
      </c>
      <c r="D71" s="213"/>
      <c r="E71" s="213"/>
      <c r="F71" s="213"/>
      <c r="G71" s="207"/>
      <c r="J71" s="98"/>
      <c r="K71" s="206" t="str">
        <f t="shared" si="1"/>
        <v>P-COVER1710 H x 800 : 1 개</v>
      </c>
    </row>
    <row r="72" spans="1:13" ht="20.25" customHeight="1">
      <c r="A72" s="222" t="s">
        <v>300</v>
      </c>
      <c r="B72" s="222" t="s">
        <v>202</v>
      </c>
      <c r="C72" s="221" t="s">
        <v>203</v>
      </c>
      <c r="D72" s="213"/>
      <c r="E72" s="213"/>
      <c r="F72" s="213"/>
      <c r="G72" s="207"/>
      <c r="J72" s="98"/>
      <c r="K72" s="206" t="str">
        <f t="shared" si="1"/>
        <v>BUS BAR6.0 mm x 50 mm</v>
      </c>
    </row>
    <row r="73" spans="1:13" ht="20.25" customHeight="1">
      <c r="A73" s="222" t="s">
        <v>300</v>
      </c>
      <c r="B73" s="222" t="s">
        <v>301</v>
      </c>
      <c r="C73" s="221" t="s">
        <v>203</v>
      </c>
      <c r="D73" s="213"/>
      <c r="E73" s="213"/>
      <c r="F73" s="213"/>
      <c r="G73" s="207"/>
      <c r="J73" s="98"/>
      <c r="K73" s="206" t="str">
        <f t="shared" si="1"/>
        <v>BUS BAR3.0 mm x 15 mm</v>
      </c>
    </row>
    <row r="74" spans="1:13" ht="20.25" customHeight="1">
      <c r="A74" s="222" t="s">
        <v>302</v>
      </c>
      <c r="B74" s="222" t="s">
        <v>303</v>
      </c>
      <c r="C74" s="221" t="s">
        <v>186</v>
      </c>
      <c r="D74" s="213">
        <v>0.38</v>
      </c>
      <c r="E74" s="213"/>
      <c r="F74" s="213"/>
      <c r="G74" s="214" t="s">
        <v>327</v>
      </c>
      <c r="J74" s="98"/>
      <c r="K74" s="206" t="str">
        <f t="shared" si="1"/>
        <v>E L D10C (MICOM)</v>
      </c>
    </row>
    <row r="75" spans="1:13" ht="20.25" customHeight="1">
      <c r="A75" s="225" t="s">
        <v>304</v>
      </c>
      <c r="B75" s="225" t="s">
        <v>305</v>
      </c>
      <c r="C75" s="226" t="s">
        <v>186</v>
      </c>
      <c r="D75" s="297">
        <v>0.33</v>
      </c>
      <c r="E75" s="213"/>
      <c r="F75" s="213"/>
      <c r="G75" s="214" t="s">
        <v>324</v>
      </c>
      <c r="J75" s="98"/>
      <c r="K75" s="206" t="str">
        <f t="shared" si="1"/>
        <v>M C C B (표준형)4P 600V 50AF</v>
      </c>
    </row>
    <row r="76" spans="1:13" ht="20.25" customHeight="1">
      <c r="A76" s="225" t="s">
        <v>306</v>
      </c>
      <c r="B76" s="225" t="s">
        <v>307</v>
      </c>
      <c r="C76" s="226" t="s">
        <v>186</v>
      </c>
      <c r="D76" s="297">
        <v>0.13</v>
      </c>
      <c r="E76" s="213"/>
      <c r="F76" s="213"/>
      <c r="G76" s="214" t="s">
        <v>324</v>
      </c>
      <c r="J76" s="98"/>
      <c r="K76" s="206" t="str">
        <f t="shared" si="1"/>
        <v>E L C B  (분전반)110/220V 2P 30AF</v>
      </c>
    </row>
    <row r="77" spans="1:13" ht="20.25" customHeight="1">
      <c r="A77" s="222" t="s">
        <v>308</v>
      </c>
      <c r="B77" s="222" t="s">
        <v>309</v>
      </c>
      <c r="C77" s="221" t="s">
        <v>186</v>
      </c>
      <c r="D77" s="213">
        <v>1.1000000000000001</v>
      </c>
      <c r="E77" s="213"/>
      <c r="F77" s="213">
        <v>0.35</v>
      </c>
      <c r="G77" s="214" t="s">
        <v>327</v>
      </c>
      <c r="J77" s="98"/>
      <c r="K77" s="206" t="str">
        <f t="shared" si="1"/>
        <v>Z C T100A  (ELD용)</v>
      </c>
    </row>
    <row r="78" spans="1:13" ht="20.25" customHeight="1">
      <c r="A78" s="222" t="s">
        <v>310</v>
      </c>
      <c r="B78" s="222" t="s">
        <v>311</v>
      </c>
      <c r="C78" s="221" t="s">
        <v>217</v>
      </c>
      <c r="D78" s="297">
        <v>0.3</v>
      </c>
      <c r="E78" s="213"/>
      <c r="F78" s="213"/>
      <c r="G78" s="214" t="s">
        <v>324</v>
      </c>
      <c r="J78" s="206"/>
      <c r="K78" s="206" t="str">
        <f t="shared" si="1"/>
        <v>M C (GMC-32)7.5kW/220V  15kW/440V</v>
      </c>
    </row>
    <row r="79" spans="1:13" ht="20.25" customHeight="1">
      <c r="A79" s="222" t="s">
        <v>312</v>
      </c>
      <c r="B79" s="222" t="s">
        <v>313</v>
      </c>
      <c r="C79" s="221" t="s">
        <v>217</v>
      </c>
      <c r="D79" s="297">
        <v>0.45</v>
      </c>
      <c r="E79" s="213"/>
      <c r="F79" s="213"/>
      <c r="G79" s="214" t="s">
        <v>324</v>
      </c>
      <c r="J79" s="206"/>
      <c r="K79" s="206" t="str">
        <f t="shared" si="1"/>
        <v>M C (GMC-75)22kW/220V   37kW/440V</v>
      </c>
    </row>
    <row r="80" spans="1:13" ht="20.25" customHeight="1">
      <c r="A80" s="227" t="s">
        <v>314</v>
      </c>
      <c r="B80" s="227" t="s">
        <v>405</v>
      </c>
      <c r="C80" s="228" t="s">
        <v>217</v>
      </c>
      <c r="D80" s="213">
        <v>0.21</v>
      </c>
      <c r="E80" s="213"/>
      <c r="F80" s="213"/>
      <c r="G80" s="214" t="s">
        <v>325</v>
      </c>
      <c r="J80" s="206"/>
      <c r="K80" s="206" t="str">
        <f t="shared" si="1"/>
        <v>가로등(터널등)제어기조도제어5단계</v>
      </c>
    </row>
    <row r="81" spans="1:11" ht="20.25" customHeight="1">
      <c r="A81" s="222" t="s">
        <v>251</v>
      </c>
      <c r="B81" s="222" t="s">
        <v>315</v>
      </c>
      <c r="C81" s="221" t="s">
        <v>203</v>
      </c>
      <c r="D81" s="213"/>
      <c r="E81" s="213">
        <v>0.02</v>
      </c>
      <c r="F81" s="213"/>
      <c r="G81" s="214" t="s">
        <v>329</v>
      </c>
      <c r="J81" s="206"/>
      <c r="K81" s="206" t="str">
        <f t="shared" si="1"/>
        <v>LOAD WIREKIV 10㎟</v>
      </c>
    </row>
    <row r="82" spans="1:11" ht="20.25" customHeight="1">
      <c r="A82" s="222" t="s">
        <v>251</v>
      </c>
      <c r="B82" s="222" t="s">
        <v>316</v>
      </c>
      <c r="C82" s="221" t="s">
        <v>203</v>
      </c>
      <c r="D82" s="213"/>
      <c r="E82" s="213">
        <v>0.02</v>
      </c>
      <c r="F82" s="213"/>
      <c r="G82" s="214" t="s">
        <v>329</v>
      </c>
      <c r="J82" s="206"/>
      <c r="K82" s="206" t="str">
        <f t="shared" si="1"/>
        <v>LOAD WIREKIV 16㎟</v>
      </c>
    </row>
    <row r="83" spans="1:11" ht="20.25" customHeight="1">
      <c r="A83" s="222" t="s">
        <v>253</v>
      </c>
      <c r="B83" s="222" t="s">
        <v>317</v>
      </c>
      <c r="C83" s="221" t="s">
        <v>186</v>
      </c>
      <c r="D83" s="213"/>
      <c r="E83" s="213"/>
      <c r="F83" s="213"/>
      <c r="G83" s="207"/>
      <c r="J83" s="206"/>
      <c r="K83" s="206" t="str">
        <f t="shared" si="1"/>
        <v>LOAD TB2P 30A</v>
      </c>
    </row>
    <row r="84" spans="1:11" ht="20.25" customHeight="1">
      <c r="A84" s="222" t="s">
        <v>253</v>
      </c>
      <c r="B84" s="222" t="s">
        <v>318</v>
      </c>
      <c r="C84" s="221" t="s">
        <v>186</v>
      </c>
      <c r="D84" s="213"/>
      <c r="E84" s="213"/>
      <c r="F84" s="213"/>
      <c r="G84" s="207"/>
      <c r="J84" s="206"/>
      <c r="K84" s="206" t="str">
        <f t="shared" si="1"/>
        <v>LOAD TB4P 60A</v>
      </c>
    </row>
    <row r="85" spans="1:11" ht="20.25" customHeight="1">
      <c r="A85" s="225" t="s">
        <v>255</v>
      </c>
      <c r="B85" s="225" t="s">
        <v>319</v>
      </c>
      <c r="C85" s="226" t="s">
        <v>186</v>
      </c>
      <c r="D85" s="213"/>
      <c r="E85" s="213"/>
      <c r="F85" s="213"/>
      <c r="G85" s="207"/>
      <c r="J85" s="206"/>
      <c r="K85" s="206" t="str">
        <f t="shared" si="1"/>
        <v>TERMINAL LUG10㎟</v>
      </c>
    </row>
    <row r="86" spans="1:11" ht="20.25" customHeight="1">
      <c r="A86" s="222" t="s">
        <v>255</v>
      </c>
      <c r="B86" s="222" t="s">
        <v>320</v>
      </c>
      <c r="C86" s="221" t="s">
        <v>186</v>
      </c>
      <c r="D86" s="213"/>
      <c r="E86" s="213"/>
      <c r="F86" s="213"/>
      <c r="G86" s="207"/>
      <c r="J86" s="206"/>
      <c r="K86" s="206" t="str">
        <f t="shared" si="1"/>
        <v>TERMINAL LUG16㎟</v>
      </c>
    </row>
    <row r="87" spans="1:11" ht="20.25" customHeight="1">
      <c r="A87" s="222" t="s">
        <v>179</v>
      </c>
      <c r="B87" s="222" t="s">
        <v>321</v>
      </c>
      <c r="C87" s="221" t="s">
        <v>59</v>
      </c>
      <c r="D87" s="213"/>
      <c r="E87" s="213"/>
      <c r="F87" s="213"/>
      <c r="G87" s="207"/>
      <c r="J87" s="206"/>
      <c r="K87" s="206" t="str">
        <f t="shared" si="1"/>
        <v>외함2000Wx2850Hx2500D</v>
      </c>
    </row>
    <row r="88" spans="1:11" ht="20.25" customHeight="1">
      <c r="A88" s="222" t="s">
        <v>181</v>
      </c>
      <c r="B88" s="222" t="s">
        <v>322</v>
      </c>
      <c r="C88" s="221" t="s">
        <v>183</v>
      </c>
      <c r="D88" s="213"/>
      <c r="E88" s="213"/>
      <c r="F88" s="213"/>
      <c r="G88" s="207"/>
      <c r="J88" s="206"/>
      <c r="K88" s="206" t="str">
        <f t="shared" si="1"/>
        <v>소공간자동소화장치8kg</v>
      </c>
    </row>
    <row r="89" spans="1:11" ht="20.25" customHeight="1">
      <c r="A89" s="222" t="s">
        <v>184</v>
      </c>
      <c r="B89" s="222" t="s">
        <v>323</v>
      </c>
      <c r="C89" s="221" t="s">
        <v>186</v>
      </c>
      <c r="D89" s="213"/>
      <c r="E89" s="213"/>
      <c r="F89" s="213"/>
      <c r="G89" s="207"/>
      <c r="J89" s="206"/>
      <c r="K89" s="206" t="str">
        <f t="shared" si="1"/>
        <v>DOOR HANDLEW/KEY (M)</v>
      </c>
    </row>
    <row r="90" spans="1:11" ht="20.25" customHeight="1">
      <c r="A90" s="196"/>
      <c r="B90" s="196"/>
      <c r="C90" s="198"/>
      <c r="D90" s="203"/>
      <c r="E90" s="203"/>
      <c r="F90" s="203"/>
      <c r="G90" s="204"/>
      <c r="J90" s="206"/>
      <c r="K90" s="206" t="str">
        <f t="shared" si="1"/>
        <v/>
      </c>
    </row>
    <row r="91" spans="1:11" ht="20.25" customHeight="1">
      <c r="A91" s="196"/>
      <c r="B91" s="196"/>
      <c r="C91" s="198"/>
      <c r="D91" s="203"/>
      <c r="E91" s="203"/>
      <c r="F91" s="203"/>
      <c r="G91" s="204"/>
      <c r="J91" s="206"/>
    </row>
    <row r="92" spans="1:11" ht="20.25" customHeight="1">
      <c r="A92" s="200"/>
      <c r="B92" s="200"/>
      <c r="C92" s="201"/>
      <c r="D92" s="203"/>
      <c r="E92" s="203"/>
      <c r="F92" s="203"/>
      <c r="G92" s="204"/>
      <c r="J92" s="206"/>
    </row>
    <row r="93" spans="1:11" ht="20.25" customHeight="1">
      <c r="A93" s="200"/>
      <c r="B93" s="200"/>
      <c r="C93" s="201"/>
      <c r="D93" s="203"/>
      <c r="E93" s="203"/>
      <c r="F93" s="203"/>
      <c r="G93" s="204"/>
      <c r="J93" s="206"/>
    </row>
    <row r="94" spans="1:11" ht="20.25" customHeight="1">
      <c r="A94" s="202"/>
      <c r="B94" s="202"/>
      <c r="C94" s="198"/>
      <c r="D94" s="203"/>
      <c r="E94" s="199"/>
      <c r="F94" s="203"/>
      <c r="G94" s="204"/>
      <c r="J94" s="206"/>
    </row>
    <row r="95" spans="1:11" ht="20.25" customHeight="1">
      <c r="A95" s="202"/>
      <c r="B95" s="202"/>
      <c r="C95" s="198"/>
      <c r="D95" s="203"/>
      <c r="E95" s="199"/>
      <c r="F95" s="203"/>
      <c r="G95" s="204"/>
      <c r="J95" s="206"/>
    </row>
    <row r="96" spans="1:11" ht="20.25" customHeight="1">
      <c r="A96" s="196"/>
      <c r="B96" s="196"/>
      <c r="C96" s="198"/>
      <c r="D96" s="203"/>
      <c r="E96" s="199"/>
      <c r="F96" s="203"/>
      <c r="G96" s="204"/>
      <c r="J96" s="206" t="str">
        <f t="shared" ref="J96:J105" si="2">CONCATENATE(A96,B96)</f>
        <v/>
      </c>
    </row>
    <row r="97" spans="1:10" ht="20.25" customHeight="1">
      <c r="A97" s="196"/>
      <c r="B97" s="196"/>
      <c r="C97" s="198"/>
      <c r="D97" s="203"/>
      <c r="E97" s="203"/>
      <c r="F97" s="203"/>
      <c r="G97" s="204"/>
      <c r="J97" s="206" t="str">
        <f t="shared" si="2"/>
        <v/>
      </c>
    </row>
    <row r="98" spans="1:10" ht="20.25" customHeight="1">
      <c r="A98" s="197"/>
      <c r="B98" s="197"/>
      <c r="C98" s="205"/>
      <c r="D98" s="199"/>
      <c r="E98" s="199"/>
      <c r="F98" s="199"/>
      <c r="G98" s="204"/>
      <c r="J98" s="206" t="str">
        <f t="shared" si="2"/>
        <v/>
      </c>
    </row>
    <row r="99" spans="1:10" ht="20.25" customHeight="1">
      <c r="A99" s="197"/>
      <c r="B99" s="197"/>
      <c r="C99" s="205"/>
      <c r="D99" s="199"/>
      <c r="E99" s="199"/>
      <c r="F99" s="199"/>
      <c r="G99" s="204"/>
      <c r="J99" s="206" t="str">
        <f t="shared" si="2"/>
        <v/>
      </c>
    </row>
    <row r="100" spans="1:10" ht="20.25" customHeight="1">
      <c r="A100" s="197"/>
      <c r="B100" s="197"/>
      <c r="C100" s="205"/>
      <c r="D100" s="199"/>
      <c r="E100" s="199"/>
      <c r="F100" s="199"/>
      <c r="G100" s="204"/>
      <c r="J100" s="206" t="str">
        <f t="shared" si="2"/>
        <v/>
      </c>
    </row>
    <row r="101" spans="1:10" ht="20.25" customHeight="1">
      <c r="A101" s="197"/>
      <c r="B101" s="197"/>
      <c r="C101" s="205"/>
      <c r="D101" s="199"/>
      <c r="E101" s="199"/>
      <c r="F101" s="199"/>
      <c r="G101" s="204"/>
      <c r="J101" s="206" t="str">
        <f t="shared" si="2"/>
        <v/>
      </c>
    </row>
    <row r="102" spans="1:10" ht="20.25" customHeight="1">
      <c r="A102" s="197"/>
      <c r="B102" s="197"/>
      <c r="C102" s="205"/>
      <c r="D102" s="199"/>
      <c r="E102" s="199"/>
      <c r="F102" s="199"/>
      <c r="G102" s="204"/>
      <c r="J102" s="206" t="str">
        <f t="shared" si="2"/>
        <v/>
      </c>
    </row>
    <row r="103" spans="1:10" ht="20.25" customHeight="1">
      <c r="A103" s="196"/>
      <c r="B103" s="196"/>
      <c r="C103" s="198"/>
      <c r="D103" s="203"/>
      <c r="E103" s="203"/>
      <c r="F103" s="203"/>
      <c r="G103" s="204"/>
      <c r="J103" s="206" t="str">
        <f t="shared" si="2"/>
        <v/>
      </c>
    </row>
    <row r="104" spans="1:10" ht="20.25" customHeight="1">
      <c r="A104" s="197"/>
      <c r="B104" s="197"/>
      <c r="C104" s="205"/>
      <c r="D104" s="199"/>
      <c r="E104" s="199"/>
      <c r="F104" s="199"/>
      <c r="G104" s="204"/>
      <c r="J104" s="206" t="str">
        <f t="shared" si="2"/>
        <v/>
      </c>
    </row>
    <row r="105" spans="1:10" ht="20.25" customHeight="1">
      <c r="A105" s="196"/>
      <c r="B105" s="196"/>
      <c r="C105" s="198"/>
      <c r="D105" s="203"/>
      <c r="E105" s="203"/>
      <c r="F105" s="203"/>
      <c r="G105" s="204"/>
      <c r="J105" s="206" t="str">
        <f t="shared" si="2"/>
        <v/>
      </c>
    </row>
  </sheetData>
  <mergeCells count="6">
    <mergeCell ref="A1:G1"/>
    <mergeCell ref="A2:A3"/>
    <mergeCell ref="B2:B3"/>
    <mergeCell ref="C2:C3"/>
    <mergeCell ref="D2:F2"/>
    <mergeCell ref="G2:G3"/>
  </mergeCells>
  <phoneticPr fontId="2" type="noConversion"/>
  <pageMargins left="0.70866141732283472" right="0.70866141732283472" top="0.74803149606299213" bottom="0.74803149606299213" header="0.31496062992125984" footer="0.31496062992125984"/>
  <pageSetup paperSize="9" fitToHeight="2" orientation="landscape" r:id="rId1"/>
  <rowBreaks count="2" manualBreakCount="2">
    <brk id="29" max="6" man="1"/>
    <brk id="76" max="6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G19"/>
  <sheetViews>
    <sheetView view="pageBreakPreview" zoomScaleNormal="100" zoomScaleSheetLayoutView="100" workbookViewId="0">
      <selection activeCell="F7" sqref="F7"/>
    </sheetView>
  </sheetViews>
  <sheetFormatPr defaultRowHeight="13.5"/>
  <cols>
    <col min="1" max="2" width="19.88671875" customWidth="1"/>
    <col min="6" max="6" width="14.88671875" customWidth="1"/>
    <col min="7" max="7" width="11.77734375" customWidth="1"/>
  </cols>
  <sheetData>
    <row r="1" spans="1:7" ht="56.25" customHeight="1">
      <c r="A1" s="454" t="s">
        <v>155</v>
      </c>
      <c r="B1" s="455"/>
    </row>
    <row r="2" spans="1:7" ht="30" customHeight="1">
      <c r="A2" s="456" t="s">
        <v>166</v>
      </c>
      <c r="B2" s="457"/>
    </row>
    <row r="3" spans="1:7" ht="30" customHeight="1">
      <c r="A3" s="208" t="s">
        <v>162</v>
      </c>
      <c r="B3" s="209"/>
      <c r="F3" s="191"/>
      <c r="G3" s="84"/>
    </row>
    <row r="4" spans="1:7" ht="30" customHeight="1">
      <c r="A4" s="208" t="s">
        <v>163</v>
      </c>
      <c r="B4" s="209"/>
      <c r="F4" s="191"/>
      <c r="G4" s="84"/>
    </row>
    <row r="5" spans="1:7" ht="30" customHeight="1">
      <c r="A5" s="208" t="s">
        <v>164</v>
      </c>
      <c r="B5" s="209"/>
      <c r="F5" s="191"/>
      <c r="G5" s="84"/>
    </row>
    <row r="6" spans="1:7" ht="30" customHeight="1">
      <c r="A6" s="208" t="s">
        <v>109</v>
      </c>
      <c r="B6" s="209"/>
      <c r="F6" s="191"/>
      <c r="G6" s="84"/>
    </row>
    <row r="7" spans="1:7" ht="30" customHeight="1">
      <c r="A7" s="458" t="s">
        <v>165</v>
      </c>
      <c r="B7" s="459"/>
      <c r="F7" s="191"/>
      <c r="G7" s="84"/>
    </row>
    <row r="8" spans="1:7" ht="30" customHeight="1">
      <c r="A8" s="210" t="s">
        <v>156</v>
      </c>
      <c r="B8" s="209"/>
      <c r="F8" s="191"/>
      <c r="G8" s="84"/>
    </row>
    <row r="9" spans="1:7" ht="30" customHeight="1">
      <c r="A9" s="210" t="s">
        <v>157</v>
      </c>
      <c r="B9" s="209"/>
      <c r="F9" s="191"/>
      <c r="G9" s="84"/>
    </row>
    <row r="10" spans="1:7" ht="30" customHeight="1">
      <c r="A10" s="210" t="s">
        <v>158</v>
      </c>
      <c r="B10" s="209"/>
      <c r="F10" s="191"/>
      <c r="G10" s="84"/>
    </row>
    <row r="11" spans="1:7" ht="30" customHeight="1">
      <c r="A11" s="210" t="s">
        <v>159</v>
      </c>
      <c r="B11" s="209"/>
      <c r="F11" s="191"/>
      <c r="G11" s="84"/>
    </row>
    <row r="12" spans="1:7" ht="30" customHeight="1">
      <c r="A12" s="210" t="s">
        <v>169</v>
      </c>
      <c r="B12" s="209"/>
      <c r="F12" s="191"/>
      <c r="G12" s="84"/>
    </row>
    <row r="13" spans="1:7" ht="30" customHeight="1">
      <c r="A13" s="208" t="s">
        <v>170</v>
      </c>
      <c r="B13" s="209"/>
      <c r="F13" s="191"/>
      <c r="G13" s="84"/>
    </row>
    <row r="14" spans="1:7" ht="30" customHeight="1">
      <c r="A14" s="208" t="s">
        <v>160</v>
      </c>
      <c r="B14" s="209"/>
      <c r="F14" s="191"/>
      <c r="G14" s="84"/>
    </row>
    <row r="15" spans="1:7" ht="30" customHeight="1">
      <c r="A15" s="208" t="s">
        <v>161</v>
      </c>
      <c r="B15" s="209"/>
      <c r="F15" s="191"/>
      <c r="G15" s="84"/>
    </row>
    <row r="16" spans="1:7" ht="49.5" customHeight="1"/>
    <row r="17" ht="49.5" customHeight="1"/>
    <row r="18" ht="49.5" customHeight="1"/>
    <row r="19" ht="49.5" customHeight="1"/>
  </sheetData>
  <mergeCells count="3">
    <mergeCell ref="A1:B1"/>
    <mergeCell ref="A2:B2"/>
    <mergeCell ref="A7:B7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12</vt:i4>
      </vt:variant>
    </vt:vector>
  </HeadingPairs>
  <TitlesOfParts>
    <vt:vector size="23" baseType="lpstr">
      <vt:lpstr>설계서(갑지)</vt:lpstr>
      <vt:lpstr>심사결과</vt:lpstr>
      <vt:lpstr>설치원가계산서</vt:lpstr>
      <vt:lpstr>설치내역서</vt:lpstr>
      <vt:lpstr>설치일위대가 목록</vt:lpstr>
      <vt:lpstr>설치일위대가 </vt:lpstr>
      <vt:lpstr>제조원가계산서</vt:lpstr>
      <vt:lpstr>제조내역총괄표</vt:lpstr>
      <vt:lpstr>제조산출내역서</vt:lpstr>
      <vt:lpstr>제조공량산출서</vt:lpstr>
      <vt:lpstr>제조노임단가</vt:lpstr>
      <vt:lpstr>'설계서(갑지)'!Print_Area</vt:lpstr>
      <vt:lpstr>설치원가계산서!Print_Area</vt:lpstr>
      <vt:lpstr>'설치일위대가 '!Print_Area</vt:lpstr>
      <vt:lpstr>'설치일위대가 목록'!Print_Area</vt:lpstr>
      <vt:lpstr>제조공량산출서!Print_Area</vt:lpstr>
      <vt:lpstr>제조노임단가!Print_Area</vt:lpstr>
      <vt:lpstr>제조산출내역서!Print_Area</vt:lpstr>
      <vt:lpstr>제조원가계산서!Print_Area</vt:lpstr>
      <vt:lpstr>설치내역서!Print_Titles</vt:lpstr>
      <vt:lpstr>'설치일위대가 '!Print_Titles</vt:lpstr>
      <vt:lpstr>'설치일위대가 목록'!Print_Titles</vt:lpstr>
      <vt:lpstr>제조내역총괄표!Print_Titles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만안전기</dc:creator>
  <cp:lastModifiedBy>User</cp:lastModifiedBy>
  <cp:lastPrinted>2021-11-18T04:37:22Z</cp:lastPrinted>
  <dcterms:created xsi:type="dcterms:W3CDTF">2006-09-05T00:20:21Z</dcterms:created>
  <dcterms:modified xsi:type="dcterms:W3CDTF">2021-11-23T04:20:36Z</dcterms:modified>
</cp:coreProperties>
</file>